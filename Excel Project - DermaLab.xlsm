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ASUS\Desktop\Data Science\Data Analysis Excel Project\"/>
    </mc:Choice>
  </mc:AlternateContent>
  <bookViews>
    <workbookView xWindow="0" yWindow="0" windowWidth="20490" windowHeight="7650" firstSheet="1" activeTab="1"/>
  </bookViews>
  <sheets>
    <sheet name="Sheet1" sheetId="11" state="hidden" r:id="rId1"/>
    <sheet name="Skincare Sales" sheetId="1" r:id="rId2"/>
    <sheet name="Cost Product" sheetId="5" r:id="rId3"/>
    <sheet name="Analysis" sheetId="6" r:id="rId4"/>
    <sheet name="KPI" sheetId="12" r:id="rId5"/>
    <sheet name="Dashboard" sheetId="13" r:id="rId6"/>
    <sheet name="Sales Form" sheetId="10" r:id="rId7"/>
  </sheets>
  <definedNames>
    <definedName name="_xlnm._FilterDatabase" localSheetId="1" hidden="1">'Skincare Sales'!$A$1:$R$1001</definedName>
    <definedName name="Slicer_Month">#N/A</definedName>
    <definedName name="Slicer_Product_Category">#N/A</definedName>
    <definedName name="Slicer_Sales_Location">#N/A</definedName>
    <definedName name="Slicer_Year">#N/A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0" i="1" l="1"/>
  <c r="B37" i="12" l="1"/>
  <c r="E37" i="12" s="1"/>
  <c r="E52" i="12" l="1"/>
  <c r="E47" i="12"/>
  <c r="E42" i="12"/>
  <c r="C37" i="12"/>
  <c r="D122" i="12"/>
  <c r="D123" i="12"/>
  <c r="D124" i="12"/>
  <c r="D125" i="12"/>
  <c r="D126" i="12"/>
  <c r="E125" i="12"/>
  <c r="E121" i="12"/>
  <c r="E122" i="12"/>
  <c r="E124" i="12"/>
  <c r="E123" i="12"/>
  <c r="E126" i="12"/>
  <c r="D113" i="12" l="1"/>
  <c r="E113" i="12"/>
  <c r="D114" i="12"/>
  <c r="E114" i="12"/>
  <c r="E112" i="12"/>
  <c r="D112" i="12"/>
  <c r="D100" i="12"/>
  <c r="E100" i="12"/>
  <c r="D101" i="12"/>
  <c r="E101" i="12"/>
  <c r="D102" i="12"/>
  <c r="E102" i="12"/>
  <c r="D103" i="12"/>
  <c r="E103" i="12"/>
  <c r="D104" i="12"/>
  <c r="E104" i="12"/>
  <c r="D105" i="12"/>
  <c r="E105" i="12"/>
  <c r="E99" i="12"/>
  <c r="D99" i="12"/>
  <c r="F82" i="12"/>
  <c r="G82" i="12"/>
  <c r="H82" i="12"/>
  <c r="I82" i="12"/>
  <c r="F83" i="12"/>
  <c r="G83" i="12"/>
  <c r="H83" i="12"/>
  <c r="I83" i="12"/>
  <c r="F84" i="12"/>
  <c r="G84" i="12"/>
  <c r="H84" i="12"/>
  <c r="I84" i="12"/>
  <c r="F85" i="12"/>
  <c r="G85" i="12"/>
  <c r="H85" i="12"/>
  <c r="I85" i="12"/>
  <c r="F86" i="12"/>
  <c r="G86" i="12"/>
  <c r="H86" i="12"/>
  <c r="I86" i="12"/>
  <c r="F87" i="12"/>
  <c r="G87" i="12"/>
  <c r="H87" i="12"/>
  <c r="I87" i="12"/>
  <c r="F88" i="12"/>
  <c r="G88" i="12"/>
  <c r="H88" i="12"/>
  <c r="I88" i="12"/>
  <c r="F89" i="12"/>
  <c r="G89" i="12"/>
  <c r="H89" i="12"/>
  <c r="I89" i="12"/>
  <c r="F90" i="12"/>
  <c r="G90" i="12"/>
  <c r="H90" i="12"/>
  <c r="I90" i="12"/>
  <c r="F91" i="12"/>
  <c r="G91" i="12"/>
  <c r="H91" i="12"/>
  <c r="I91" i="12"/>
  <c r="F92" i="12"/>
  <c r="G92" i="12"/>
  <c r="H92" i="12"/>
  <c r="I92" i="12"/>
  <c r="G81" i="12"/>
  <c r="H81" i="12"/>
  <c r="I81" i="12"/>
  <c r="F81" i="12"/>
  <c r="F70" i="12"/>
  <c r="G70" i="12"/>
  <c r="H70" i="12"/>
  <c r="I70" i="12"/>
  <c r="F71" i="12"/>
  <c r="G71" i="12"/>
  <c r="H71" i="12"/>
  <c r="I71" i="12"/>
  <c r="F72" i="12"/>
  <c r="G72" i="12"/>
  <c r="H72" i="12"/>
  <c r="I72" i="12"/>
  <c r="F73" i="12"/>
  <c r="G73" i="12"/>
  <c r="H73" i="12"/>
  <c r="I73" i="12"/>
  <c r="F74" i="12"/>
  <c r="G74" i="12"/>
  <c r="H74" i="12"/>
  <c r="I74" i="12"/>
  <c r="J7" i="10"/>
  <c r="D121" i="12" l="1"/>
  <c r="B7" i="12"/>
  <c r="F14" i="12"/>
  <c r="A7" i="12"/>
  <c r="C7" i="12"/>
  <c r="F15" i="12"/>
  <c r="D47" i="12" l="1"/>
  <c r="D42" i="12"/>
  <c r="D37" i="12"/>
  <c r="G14" i="12"/>
  <c r="G15" i="12"/>
  <c r="F10" i="12"/>
  <c r="C6" i="12"/>
  <c r="F11" i="12"/>
  <c r="B6" i="12"/>
  <c r="A6" i="12"/>
  <c r="E6" i="12"/>
  <c r="F42" i="12" l="1"/>
  <c r="F43" i="12" s="1"/>
  <c r="G42" i="12"/>
  <c r="G43" i="12" s="1"/>
  <c r="F47" i="12"/>
  <c r="F48" i="12" s="1"/>
  <c r="G47" i="12"/>
  <c r="G48" i="12" s="1"/>
  <c r="D52" i="12"/>
  <c r="F37" i="12"/>
  <c r="F38" i="12" s="1"/>
  <c r="G37" i="12"/>
  <c r="G38" i="12" s="1"/>
  <c r="G10" i="12"/>
  <c r="G11" i="12"/>
  <c r="H42" i="12" l="1"/>
  <c r="G52" i="12"/>
  <c r="G53" i="12" s="1"/>
  <c r="F52" i="12"/>
  <c r="F53" i="12" s="1"/>
  <c r="H47" i="12"/>
  <c r="H37" i="12"/>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6" i="1"/>
  <c r="Q887" i="1"/>
  <c r="Q888" i="1"/>
  <c r="Q890" i="1"/>
  <c r="Q891" i="1"/>
  <c r="Q892" i="1"/>
  <c r="Q894" i="1"/>
  <c r="Q895" i="1"/>
  <c r="Q896" i="1"/>
  <c r="Q898" i="1"/>
  <c r="Q899" i="1"/>
  <c r="Q900" i="1"/>
  <c r="Q902" i="1"/>
  <c r="Q903" i="1"/>
  <c r="Q904" i="1"/>
  <c r="Q906" i="1"/>
  <c r="Q907" i="1"/>
  <c r="Q909" i="1"/>
  <c r="Q910" i="1"/>
  <c r="Q911" i="1"/>
  <c r="Q912" i="1"/>
  <c r="Q914" i="1"/>
  <c r="Q915" i="1"/>
  <c r="Q917" i="1"/>
  <c r="Q918" i="1"/>
  <c r="Q920" i="1"/>
  <c r="Q921" i="1"/>
  <c r="Q922" i="1"/>
  <c r="Q924" i="1"/>
  <c r="Q925" i="1"/>
  <c r="Q926" i="1"/>
  <c r="Q927" i="1"/>
  <c r="Q929" i="1"/>
  <c r="Q930" i="1"/>
  <c r="Q931" i="1"/>
  <c r="Q933" i="1"/>
  <c r="Q934" i="1"/>
  <c r="Q935" i="1"/>
  <c r="Q936" i="1"/>
  <c r="Q938" i="1"/>
  <c r="Q939" i="1"/>
  <c r="Q940" i="1"/>
  <c r="Q941" i="1"/>
  <c r="Q942" i="1"/>
  <c r="Q944" i="1"/>
  <c r="Q945" i="1"/>
  <c r="Q947" i="1"/>
  <c r="Q948" i="1"/>
  <c r="Q949" i="1"/>
  <c r="Q951" i="1"/>
  <c r="Q952" i="1"/>
  <c r="Q953" i="1"/>
  <c r="Q955" i="1"/>
  <c r="Q956" i="1"/>
  <c r="Q957" i="1"/>
  <c r="Q958" i="1"/>
  <c r="Q959" i="1"/>
  <c r="Q961" i="1"/>
  <c r="Q962" i="1"/>
  <c r="Q963" i="1"/>
  <c r="Q964" i="1"/>
  <c r="Q966" i="1"/>
  <c r="Q967" i="1"/>
  <c r="Q968" i="1"/>
  <c r="Q969" i="1"/>
  <c r="Q970" i="1"/>
  <c r="Q971" i="1"/>
  <c r="Q973" i="1"/>
  <c r="Q974" i="1"/>
  <c r="Q975" i="1"/>
  <c r="Q976" i="1"/>
  <c r="Q977" i="1"/>
  <c r="Q979" i="1"/>
  <c r="Q980" i="1"/>
  <c r="Q981" i="1"/>
  <c r="Q982" i="1"/>
  <c r="Q983" i="1"/>
  <c r="Q984" i="1"/>
  <c r="Q986" i="1"/>
  <c r="Q987" i="1"/>
  <c r="Q988" i="1"/>
  <c r="Q989" i="1"/>
  <c r="Q990" i="1"/>
  <c r="Q991" i="1"/>
  <c r="Q992" i="1"/>
  <c r="Q993" i="1"/>
  <c r="Q994" i="1"/>
  <c r="Q995" i="1"/>
  <c r="Q996" i="1"/>
  <c r="Q997" i="1"/>
  <c r="Q999" i="1"/>
  <c r="Q1000" i="1"/>
  <c r="Q1001" i="1"/>
  <c r="H52" i="12" l="1"/>
  <c r="H808" i="1"/>
  <c r="Q808" i="1" s="1"/>
  <c r="P3" i="1"/>
  <c r="P4" i="1"/>
  <c r="P5" i="1"/>
  <c r="R5" i="1" s="1"/>
  <c r="P6" i="1"/>
  <c r="R6" i="1" s="1"/>
  <c r="P7" i="1"/>
  <c r="P8" i="1"/>
  <c r="R8" i="1" s="1"/>
  <c r="P9" i="1"/>
  <c r="R9" i="1" s="1"/>
  <c r="P10" i="1"/>
  <c r="P11" i="1"/>
  <c r="P12" i="1"/>
  <c r="P13" i="1"/>
  <c r="R13" i="1" s="1"/>
  <c r="P14" i="1"/>
  <c r="R14" i="1" s="1"/>
  <c r="P15" i="1"/>
  <c r="P16" i="1"/>
  <c r="R16" i="1" s="1"/>
  <c r="P17" i="1"/>
  <c r="R17" i="1" s="1"/>
  <c r="P18" i="1"/>
  <c r="P19" i="1"/>
  <c r="P20" i="1"/>
  <c r="P21" i="1"/>
  <c r="R21" i="1" s="1"/>
  <c r="P22" i="1"/>
  <c r="R22" i="1" s="1"/>
  <c r="P23" i="1"/>
  <c r="P24" i="1"/>
  <c r="R24" i="1" s="1"/>
  <c r="P25" i="1"/>
  <c r="R25" i="1" s="1"/>
  <c r="P26" i="1"/>
  <c r="P27" i="1"/>
  <c r="P28" i="1"/>
  <c r="P29" i="1"/>
  <c r="R29" i="1" s="1"/>
  <c r="P30" i="1"/>
  <c r="R30" i="1" s="1"/>
  <c r="P31" i="1"/>
  <c r="P32" i="1"/>
  <c r="R32" i="1" s="1"/>
  <c r="P33" i="1"/>
  <c r="R33" i="1" s="1"/>
  <c r="P34" i="1"/>
  <c r="P35" i="1"/>
  <c r="P36" i="1"/>
  <c r="P37" i="1"/>
  <c r="R37" i="1" s="1"/>
  <c r="P38" i="1"/>
  <c r="R38" i="1" s="1"/>
  <c r="P39" i="1"/>
  <c r="P40" i="1"/>
  <c r="R40" i="1" s="1"/>
  <c r="P41" i="1"/>
  <c r="P42" i="1"/>
  <c r="P43" i="1"/>
  <c r="P44" i="1"/>
  <c r="P45" i="1"/>
  <c r="R45" i="1" s="1"/>
  <c r="P46" i="1"/>
  <c r="R46" i="1" s="1"/>
  <c r="P47" i="1"/>
  <c r="P48" i="1"/>
  <c r="R48" i="1" s="1"/>
  <c r="P49" i="1"/>
  <c r="R49" i="1" s="1"/>
  <c r="P50" i="1"/>
  <c r="P51" i="1"/>
  <c r="P52" i="1"/>
  <c r="P53" i="1"/>
  <c r="R53" i="1" s="1"/>
  <c r="P54" i="1"/>
  <c r="R54" i="1" s="1"/>
  <c r="P55" i="1"/>
  <c r="P56" i="1"/>
  <c r="R56" i="1" s="1"/>
  <c r="P57" i="1"/>
  <c r="R57" i="1" s="1"/>
  <c r="P58" i="1"/>
  <c r="P59" i="1"/>
  <c r="P60" i="1"/>
  <c r="P61" i="1"/>
  <c r="R61" i="1" s="1"/>
  <c r="P62" i="1"/>
  <c r="R62" i="1" s="1"/>
  <c r="P63" i="1"/>
  <c r="P64" i="1"/>
  <c r="R64" i="1" s="1"/>
  <c r="P65" i="1"/>
  <c r="R65" i="1" s="1"/>
  <c r="P66" i="1"/>
  <c r="P67" i="1"/>
  <c r="P68" i="1"/>
  <c r="P69" i="1"/>
  <c r="R69" i="1" s="1"/>
  <c r="P70" i="1"/>
  <c r="R70" i="1" s="1"/>
  <c r="P71" i="1"/>
  <c r="P72" i="1"/>
  <c r="R72" i="1" s="1"/>
  <c r="P73" i="1"/>
  <c r="R73" i="1" s="1"/>
  <c r="P74" i="1"/>
  <c r="P75" i="1"/>
  <c r="P76" i="1"/>
  <c r="P77" i="1"/>
  <c r="R77" i="1" s="1"/>
  <c r="P78" i="1"/>
  <c r="R78" i="1" s="1"/>
  <c r="P79" i="1"/>
  <c r="P80" i="1"/>
  <c r="R80" i="1" s="1"/>
  <c r="P81" i="1"/>
  <c r="R81" i="1" s="1"/>
  <c r="P82" i="1"/>
  <c r="P83" i="1"/>
  <c r="P84" i="1"/>
  <c r="P85" i="1"/>
  <c r="R85" i="1" s="1"/>
  <c r="P86" i="1"/>
  <c r="R86" i="1" s="1"/>
  <c r="P87" i="1"/>
  <c r="P88" i="1"/>
  <c r="R88" i="1" s="1"/>
  <c r="P89" i="1"/>
  <c r="R89" i="1" s="1"/>
  <c r="P90" i="1"/>
  <c r="P91" i="1"/>
  <c r="P92" i="1"/>
  <c r="P93" i="1"/>
  <c r="R93" i="1" s="1"/>
  <c r="P94" i="1"/>
  <c r="R94" i="1" s="1"/>
  <c r="P95" i="1"/>
  <c r="P96" i="1"/>
  <c r="R96" i="1" s="1"/>
  <c r="P97" i="1"/>
  <c r="R97" i="1" s="1"/>
  <c r="P98" i="1"/>
  <c r="P99" i="1"/>
  <c r="P100" i="1"/>
  <c r="P101" i="1"/>
  <c r="R101" i="1" s="1"/>
  <c r="P102" i="1"/>
  <c r="R102" i="1" s="1"/>
  <c r="P103" i="1"/>
  <c r="P104" i="1"/>
  <c r="R104" i="1" s="1"/>
  <c r="P105" i="1"/>
  <c r="R105" i="1" s="1"/>
  <c r="P106" i="1"/>
  <c r="P107" i="1"/>
  <c r="P108" i="1"/>
  <c r="P109" i="1"/>
  <c r="R109" i="1" s="1"/>
  <c r="P110" i="1"/>
  <c r="R110" i="1" s="1"/>
  <c r="P111" i="1"/>
  <c r="P112" i="1"/>
  <c r="R112" i="1" s="1"/>
  <c r="P113" i="1"/>
  <c r="R113" i="1" s="1"/>
  <c r="P114" i="1"/>
  <c r="P115" i="1"/>
  <c r="P116" i="1"/>
  <c r="P117" i="1"/>
  <c r="R117" i="1" s="1"/>
  <c r="P118" i="1"/>
  <c r="R118" i="1" s="1"/>
  <c r="P119" i="1"/>
  <c r="P120" i="1"/>
  <c r="R120" i="1" s="1"/>
  <c r="P121" i="1"/>
  <c r="R121" i="1" s="1"/>
  <c r="P122" i="1"/>
  <c r="P123" i="1"/>
  <c r="P124" i="1"/>
  <c r="P125" i="1"/>
  <c r="R125" i="1" s="1"/>
  <c r="P126" i="1"/>
  <c r="R126" i="1" s="1"/>
  <c r="P127" i="1"/>
  <c r="P128" i="1"/>
  <c r="R128" i="1" s="1"/>
  <c r="P129" i="1"/>
  <c r="R129" i="1" s="1"/>
  <c r="P130" i="1"/>
  <c r="P131" i="1"/>
  <c r="P132" i="1"/>
  <c r="P133" i="1"/>
  <c r="R133" i="1" s="1"/>
  <c r="P134" i="1"/>
  <c r="R134" i="1" s="1"/>
  <c r="P135" i="1"/>
  <c r="P136" i="1"/>
  <c r="R136" i="1" s="1"/>
  <c r="P137" i="1"/>
  <c r="R137" i="1" s="1"/>
  <c r="P138" i="1"/>
  <c r="P139" i="1"/>
  <c r="P140" i="1"/>
  <c r="P141" i="1"/>
  <c r="R141" i="1" s="1"/>
  <c r="P142" i="1"/>
  <c r="R142" i="1" s="1"/>
  <c r="P143" i="1"/>
  <c r="P144" i="1"/>
  <c r="R144" i="1" s="1"/>
  <c r="P145" i="1"/>
  <c r="R145" i="1" s="1"/>
  <c r="P146" i="1"/>
  <c r="P147" i="1"/>
  <c r="P148" i="1"/>
  <c r="P149" i="1"/>
  <c r="R149" i="1" s="1"/>
  <c r="P150" i="1"/>
  <c r="R150" i="1" s="1"/>
  <c r="P151" i="1"/>
  <c r="P152" i="1"/>
  <c r="R152" i="1" s="1"/>
  <c r="P153" i="1"/>
  <c r="R153" i="1" s="1"/>
  <c r="P154" i="1"/>
  <c r="P155" i="1"/>
  <c r="P156" i="1"/>
  <c r="P157" i="1"/>
  <c r="R157" i="1" s="1"/>
  <c r="P158" i="1"/>
  <c r="R158" i="1" s="1"/>
  <c r="P159" i="1"/>
  <c r="P160" i="1"/>
  <c r="R160" i="1" s="1"/>
  <c r="P161" i="1"/>
  <c r="R161" i="1" s="1"/>
  <c r="P162" i="1"/>
  <c r="P163" i="1"/>
  <c r="P164" i="1"/>
  <c r="P165" i="1"/>
  <c r="R165" i="1" s="1"/>
  <c r="P166" i="1"/>
  <c r="R166" i="1" s="1"/>
  <c r="P167" i="1"/>
  <c r="P168" i="1"/>
  <c r="R168" i="1" s="1"/>
  <c r="P169" i="1"/>
  <c r="R169" i="1" s="1"/>
  <c r="P170" i="1"/>
  <c r="P171" i="1"/>
  <c r="P172" i="1"/>
  <c r="P173" i="1"/>
  <c r="R173" i="1" s="1"/>
  <c r="P174" i="1"/>
  <c r="R174" i="1" s="1"/>
  <c r="P175" i="1"/>
  <c r="P176" i="1"/>
  <c r="R176" i="1" s="1"/>
  <c r="P177" i="1"/>
  <c r="R177" i="1" s="1"/>
  <c r="P178" i="1"/>
  <c r="P179" i="1"/>
  <c r="P180" i="1"/>
  <c r="P181" i="1"/>
  <c r="R181" i="1" s="1"/>
  <c r="P182" i="1"/>
  <c r="R182" i="1" s="1"/>
  <c r="P183" i="1"/>
  <c r="P184" i="1"/>
  <c r="R184" i="1" s="1"/>
  <c r="P185" i="1"/>
  <c r="R185" i="1" s="1"/>
  <c r="P186" i="1"/>
  <c r="P187" i="1"/>
  <c r="P188" i="1"/>
  <c r="P189" i="1"/>
  <c r="R189" i="1" s="1"/>
  <c r="P190" i="1"/>
  <c r="R190" i="1" s="1"/>
  <c r="P191" i="1"/>
  <c r="P192" i="1"/>
  <c r="R192" i="1" s="1"/>
  <c r="P193" i="1"/>
  <c r="R193" i="1" s="1"/>
  <c r="P194" i="1"/>
  <c r="P195" i="1"/>
  <c r="P196" i="1"/>
  <c r="P197" i="1"/>
  <c r="R197" i="1" s="1"/>
  <c r="P198" i="1"/>
  <c r="R198" i="1" s="1"/>
  <c r="P199" i="1"/>
  <c r="P200" i="1"/>
  <c r="R200" i="1" s="1"/>
  <c r="P201" i="1"/>
  <c r="R201" i="1" s="1"/>
  <c r="P202" i="1"/>
  <c r="P203" i="1"/>
  <c r="P204" i="1"/>
  <c r="P205" i="1"/>
  <c r="R205" i="1" s="1"/>
  <c r="P206" i="1"/>
  <c r="R206" i="1" s="1"/>
  <c r="P207" i="1"/>
  <c r="P208" i="1"/>
  <c r="R208" i="1" s="1"/>
  <c r="P209" i="1"/>
  <c r="R209" i="1" s="1"/>
  <c r="P210" i="1"/>
  <c r="P211" i="1"/>
  <c r="P212" i="1"/>
  <c r="P213" i="1"/>
  <c r="R213" i="1" s="1"/>
  <c r="P214" i="1"/>
  <c r="R214" i="1" s="1"/>
  <c r="P215" i="1"/>
  <c r="P216" i="1"/>
  <c r="R216" i="1" s="1"/>
  <c r="P217" i="1"/>
  <c r="R217" i="1" s="1"/>
  <c r="P218" i="1"/>
  <c r="P219" i="1"/>
  <c r="P220" i="1"/>
  <c r="P221" i="1"/>
  <c r="R221" i="1" s="1"/>
  <c r="P222" i="1"/>
  <c r="R222" i="1" s="1"/>
  <c r="P223" i="1"/>
  <c r="P224" i="1"/>
  <c r="R224" i="1" s="1"/>
  <c r="P225" i="1"/>
  <c r="R225" i="1" s="1"/>
  <c r="P226" i="1"/>
  <c r="P227" i="1"/>
  <c r="P228" i="1"/>
  <c r="P229" i="1"/>
  <c r="R229" i="1" s="1"/>
  <c r="P230" i="1"/>
  <c r="R230" i="1" s="1"/>
  <c r="P231" i="1"/>
  <c r="P232" i="1"/>
  <c r="R232" i="1" s="1"/>
  <c r="P233" i="1"/>
  <c r="R233" i="1" s="1"/>
  <c r="P234" i="1"/>
  <c r="P235" i="1"/>
  <c r="P236" i="1"/>
  <c r="P237" i="1"/>
  <c r="R237" i="1" s="1"/>
  <c r="P238" i="1"/>
  <c r="R238" i="1" s="1"/>
  <c r="P239" i="1"/>
  <c r="P240" i="1"/>
  <c r="R240" i="1" s="1"/>
  <c r="P241" i="1"/>
  <c r="R241" i="1" s="1"/>
  <c r="P242" i="1"/>
  <c r="P243" i="1"/>
  <c r="P244" i="1"/>
  <c r="P245" i="1"/>
  <c r="R245" i="1" s="1"/>
  <c r="P246" i="1"/>
  <c r="R246" i="1" s="1"/>
  <c r="P247" i="1"/>
  <c r="P248" i="1"/>
  <c r="R248" i="1" s="1"/>
  <c r="P249" i="1"/>
  <c r="R249" i="1" s="1"/>
  <c r="P250" i="1"/>
  <c r="P251" i="1"/>
  <c r="P252" i="1"/>
  <c r="P253" i="1"/>
  <c r="R253" i="1" s="1"/>
  <c r="P254" i="1"/>
  <c r="R254" i="1" s="1"/>
  <c r="P255" i="1"/>
  <c r="P256" i="1"/>
  <c r="R256" i="1" s="1"/>
  <c r="P257" i="1"/>
  <c r="R257" i="1" s="1"/>
  <c r="P258" i="1"/>
  <c r="P259" i="1"/>
  <c r="P260" i="1"/>
  <c r="P261" i="1"/>
  <c r="R261" i="1" s="1"/>
  <c r="P262" i="1"/>
  <c r="R262" i="1" s="1"/>
  <c r="P263" i="1"/>
  <c r="P264" i="1"/>
  <c r="R264" i="1" s="1"/>
  <c r="P265" i="1"/>
  <c r="R265" i="1" s="1"/>
  <c r="P266" i="1"/>
  <c r="P267" i="1"/>
  <c r="P268" i="1"/>
  <c r="P269" i="1"/>
  <c r="R269" i="1" s="1"/>
  <c r="P270" i="1"/>
  <c r="R270" i="1" s="1"/>
  <c r="P271" i="1"/>
  <c r="P272" i="1"/>
  <c r="R272" i="1" s="1"/>
  <c r="P273" i="1"/>
  <c r="R273" i="1" s="1"/>
  <c r="P274" i="1"/>
  <c r="P275" i="1"/>
  <c r="P276" i="1"/>
  <c r="P277" i="1"/>
  <c r="R277" i="1" s="1"/>
  <c r="P278" i="1"/>
  <c r="R278" i="1" s="1"/>
  <c r="P279" i="1"/>
  <c r="P280" i="1"/>
  <c r="R280" i="1" s="1"/>
  <c r="P281" i="1"/>
  <c r="R281" i="1" s="1"/>
  <c r="P282" i="1"/>
  <c r="P283" i="1"/>
  <c r="P284" i="1"/>
  <c r="P285" i="1"/>
  <c r="R285" i="1" s="1"/>
  <c r="P286" i="1"/>
  <c r="R286" i="1" s="1"/>
  <c r="P287" i="1"/>
  <c r="P288" i="1"/>
  <c r="R288" i="1" s="1"/>
  <c r="P289" i="1"/>
  <c r="R289" i="1" s="1"/>
  <c r="P290" i="1"/>
  <c r="P291" i="1"/>
  <c r="P292" i="1"/>
  <c r="P293" i="1"/>
  <c r="R293" i="1" s="1"/>
  <c r="P294" i="1"/>
  <c r="R294" i="1" s="1"/>
  <c r="P295" i="1"/>
  <c r="P296" i="1"/>
  <c r="R296" i="1" s="1"/>
  <c r="P297" i="1"/>
  <c r="R297" i="1" s="1"/>
  <c r="P298" i="1"/>
  <c r="P299" i="1"/>
  <c r="P300" i="1"/>
  <c r="P301" i="1"/>
  <c r="R301" i="1" s="1"/>
  <c r="P302" i="1"/>
  <c r="R302" i="1" s="1"/>
  <c r="P303" i="1"/>
  <c r="P304" i="1"/>
  <c r="R304" i="1" s="1"/>
  <c r="P305" i="1"/>
  <c r="R305" i="1" s="1"/>
  <c r="P306" i="1"/>
  <c r="P307" i="1"/>
  <c r="P308" i="1"/>
  <c r="P309" i="1"/>
  <c r="R309" i="1" s="1"/>
  <c r="P310" i="1"/>
  <c r="R310" i="1" s="1"/>
  <c r="P311" i="1"/>
  <c r="P312" i="1"/>
  <c r="R312" i="1" s="1"/>
  <c r="P313" i="1"/>
  <c r="P314" i="1"/>
  <c r="P315" i="1"/>
  <c r="P316" i="1"/>
  <c r="P317" i="1"/>
  <c r="R317" i="1" s="1"/>
  <c r="P318" i="1"/>
  <c r="R318" i="1" s="1"/>
  <c r="P319" i="1"/>
  <c r="P320" i="1"/>
  <c r="R320" i="1" s="1"/>
  <c r="P321" i="1"/>
  <c r="P322" i="1"/>
  <c r="P323" i="1"/>
  <c r="P324" i="1"/>
  <c r="P325" i="1"/>
  <c r="R325" i="1" s="1"/>
  <c r="P326" i="1"/>
  <c r="R326" i="1" s="1"/>
  <c r="P327" i="1"/>
  <c r="P328" i="1"/>
  <c r="R328" i="1" s="1"/>
  <c r="P329" i="1"/>
  <c r="P330" i="1"/>
  <c r="P331" i="1"/>
  <c r="P332" i="1"/>
  <c r="P333" i="1"/>
  <c r="R333" i="1" s="1"/>
  <c r="P334" i="1"/>
  <c r="R334" i="1" s="1"/>
  <c r="P335" i="1"/>
  <c r="P336" i="1"/>
  <c r="R336" i="1" s="1"/>
  <c r="P337" i="1"/>
  <c r="P338" i="1"/>
  <c r="P339" i="1"/>
  <c r="P340" i="1"/>
  <c r="P341" i="1"/>
  <c r="R341" i="1" s="1"/>
  <c r="P342" i="1"/>
  <c r="R342" i="1" s="1"/>
  <c r="P343" i="1"/>
  <c r="P344" i="1"/>
  <c r="R344" i="1" s="1"/>
  <c r="P345" i="1"/>
  <c r="P346" i="1"/>
  <c r="P347" i="1"/>
  <c r="P348" i="1"/>
  <c r="P349" i="1"/>
  <c r="R349" i="1" s="1"/>
  <c r="P350" i="1"/>
  <c r="R350" i="1" s="1"/>
  <c r="P351" i="1"/>
  <c r="P352" i="1"/>
  <c r="R352" i="1" s="1"/>
  <c r="P353" i="1"/>
  <c r="P354" i="1"/>
  <c r="P355" i="1"/>
  <c r="P356" i="1"/>
  <c r="P357" i="1"/>
  <c r="R357" i="1" s="1"/>
  <c r="P358" i="1"/>
  <c r="R358" i="1" s="1"/>
  <c r="P359" i="1"/>
  <c r="P360" i="1"/>
  <c r="R360" i="1" s="1"/>
  <c r="P361" i="1"/>
  <c r="P362" i="1"/>
  <c r="P363" i="1"/>
  <c r="P364" i="1"/>
  <c r="P365" i="1"/>
  <c r="R365" i="1" s="1"/>
  <c r="P366" i="1"/>
  <c r="R366" i="1" s="1"/>
  <c r="P367" i="1"/>
  <c r="P368" i="1"/>
  <c r="R368" i="1" s="1"/>
  <c r="P369" i="1"/>
  <c r="P370" i="1"/>
  <c r="P371" i="1"/>
  <c r="P372" i="1"/>
  <c r="P373" i="1"/>
  <c r="R373" i="1" s="1"/>
  <c r="P374" i="1"/>
  <c r="R374" i="1" s="1"/>
  <c r="P375" i="1"/>
  <c r="P376" i="1"/>
  <c r="R376" i="1" s="1"/>
  <c r="P377" i="1"/>
  <c r="P378" i="1"/>
  <c r="P379" i="1"/>
  <c r="P380" i="1"/>
  <c r="P381" i="1"/>
  <c r="R381" i="1" s="1"/>
  <c r="P382" i="1"/>
  <c r="R382" i="1" s="1"/>
  <c r="P383" i="1"/>
  <c r="P384" i="1"/>
  <c r="R384" i="1" s="1"/>
  <c r="P385" i="1"/>
  <c r="P386" i="1"/>
  <c r="P387" i="1"/>
  <c r="P388" i="1"/>
  <c r="P389" i="1"/>
  <c r="R389" i="1" s="1"/>
  <c r="P390" i="1"/>
  <c r="R390" i="1" s="1"/>
  <c r="P391" i="1"/>
  <c r="P392" i="1"/>
  <c r="R392" i="1" s="1"/>
  <c r="P393" i="1"/>
  <c r="P394" i="1"/>
  <c r="P395" i="1"/>
  <c r="P396" i="1"/>
  <c r="P397" i="1"/>
  <c r="R397" i="1" s="1"/>
  <c r="P398" i="1"/>
  <c r="R398" i="1" s="1"/>
  <c r="P399" i="1"/>
  <c r="P400" i="1"/>
  <c r="R400" i="1" s="1"/>
  <c r="P401" i="1"/>
  <c r="P402" i="1"/>
  <c r="P403" i="1"/>
  <c r="P404" i="1"/>
  <c r="P405" i="1"/>
  <c r="R405" i="1" s="1"/>
  <c r="P406" i="1"/>
  <c r="R406" i="1" s="1"/>
  <c r="P407" i="1"/>
  <c r="P408" i="1"/>
  <c r="R408" i="1" s="1"/>
  <c r="P409" i="1"/>
  <c r="P410" i="1"/>
  <c r="P411" i="1"/>
  <c r="P412" i="1"/>
  <c r="P413" i="1"/>
  <c r="R413" i="1" s="1"/>
  <c r="P414" i="1"/>
  <c r="R414" i="1" s="1"/>
  <c r="P415" i="1"/>
  <c r="P416" i="1"/>
  <c r="R416" i="1" s="1"/>
  <c r="P417" i="1"/>
  <c r="P418" i="1"/>
  <c r="P419" i="1"/>
  <c r="P420" i="1"/>
  <c r="P421" i="1"/>
  <c r="R421" i="1" s="1"/>
  <c r="P422" i="1"/>
  <c r="R422" i="1" s="1"/>
  <c r="P423" i="1"/>
  <c r="P424" i="1"/>
  <c r="R424" i="1" s="1"/>
  <c r="P425" i="1"/>
  <c r="P426" i="1"/>
  <c r="P427" i="1"/>
  <c r="P428" i="1"/>
  <c r="P429" i="1"/>
  <c r="R429" i="1" s="1"/>
  <c r="P430" i="1"/>
  <c r="R430" i="1" s="1"/>
  <c r="P431" i="1"/>
  <c r="P432" i="1"/>
  <c r="R432" i="1" s="1"/>
  <c r="P433" i="1"/>
  <c r="P434" i="1"/>
  <c r="P435" i="1"/>
  <c r="P436" i="1"/>
  <c r="P437" i="1"/>
  <c r="R437" i="1" s="1"/>
  <c r="P438" i="1"/>
  <c r="R438" i="1" s="1"/>
  <c r="P439" i="1"/>
  <c r="P440" i="1"/>
  <c r="R440" i="1" s="1"/>
  <c r="P441" i="1"/>
  <c r="P442" i="1"/>
  <c r="P443" i="1"/>
  <c r="P444" i="1"/>
  <c r="P445" i="1"/>
  <c r="R445" i="1" s="1"/>
  <c r="P446" i="1"/>
  <c r="R446" i="1" s="1"/>
  <c r="P447" i="1"/>
  <c r="P448" i="1"/>
  <c r="R448" i="1" s="1"/>
  <c r="P449" i="1"/>
  <c r="P450" i="1"/>
  <c r="P451" i="1"/>
  <c r="P452" i="1"/>
  <c r="P453" i="1"/>
  <c r="R453" i="1" s="1"/>
  <c r="P454" i="1"/>
  <c r="R454" i="1" s="1"/>
  <c r="P455" i="1"/>
  <c r="P456" i="1"/>
  <c r="R456" i="1" s="1"/>
  <c r="P457" i="1"/>
  <c r="P458" i="1"/>
  <c r="P459" i="1"/>
  <c r="P460" i="1"/>
  <c r="P461" i="1"/>
  <c r="R461" i="1" s="1"/>
  <c r="P462" i="1"/>
  <c r="R462" i="1" s="1"/>
  <c r="P463" i="1"/>
  <c r="P464" i="1"/>
  <c r="R464" i="1" s="1"/>
  <c r="P465" i="1"/>
  <c r="P466" i="1"/>
  <c r="P467" i="1"/>
  <c r="P468" i="1"/>
  <c r="P469" i="1"/>
  <c r="R469" i="1" s="1"/>
  <c r="P470" i="1"/>
  <c r="R470" i="1" s="1"/>
  <c r="P471" i="1"/>
  <c r="P472" i="1"/>
  <c r="R472" i="1" s="1"/>
  <c r="P473" i="1"/>
  <c r="P474" i="1"/>
  <c r="P475" i="1"/>
  <c r="P476" i="1"/>
  <c r="P477" i="1"/>
  <c r="R477" i="1" s="1"/>
  <c r="P478" i="1"/>
  <c r="R478" i="1" s="1"/>
  <c r="P479" i="1"/>
  <c r="P480" i="1"/>
  <c r="R480" i="1" s="1"/>
  <c r="P481" i="1"/>
  <c r="P482" i="1"/>
  <c r="P483" i="1"/>
  <c r="P484" i="1"/>
  <c r="P485" i="1"/>
  <c r="R485" i="1" s="1"/>
  <c r="P486" i="1"/>
  <c r="R486" i="1" s="1"/>
  <c r="P487" i="1"/>
  <c r="P488" i="1"/>
  <c r="R488" i="1" s="1"/>
  <c r="P489" i="1"/>
  <c r="P490" i="1"/>
  <c r="P491" i="1"/>
  <c r="P492" i="1"/>
  <c r="P493" i="1"/>
  <c r="R493" i="1" s="1"/>
  <c r="P494" i="1"/>
  <c r="R494" i="1" s="1"/>
  <c r="P495" i="1"/>
  <c r="P496" i="1"/>
  <c r="R496" i="1" s="1"/>
  <c r="P497" i="1"/>
  <c r="P498" i="1"/>
  <c r="P499" i="1"/>
  <c r="P500" i="1"/>
  <c r="P501" i="1"/>
  <c r="R501" i="1" s="1"/>
  <c r="P502" i="1"/>
  <c r="R502" i="1" s="1"/>
  <c r="P503" i="1"/>
  <c r="P504" i="1"/>
  <c r="R504" i="1" s="1"/>
  <c r="P505" i="1"/>
  <c r="P506" i="1"/>
  <c r="P507" i="1"/>
  <c r="P508" i="1"/>
  <c r="P509" i="1"/>
  <c r="R509" i="1" s="1"/>
  <c r="P510" i="1"/>
  <c r="R510" i="1" s="1"/>
  <c r="P511" i="1"/>
  <c r="P512" i="1"/>
  <c r="R512" i="1" s="1"/>
  <c r="P513" i="1"/>
  <c r="P514" i="1"/>
  <c r="P515" i="1"/>
  <c r="P516" i="1"/>
  <c r="P517" i="1"/>
  <c r="R517" i="1" s="1"/>
  <c r="P518" i="1"/>
  <c r="R518" i="1" s="1"/>
  <c r="P519" i="1"/>
  <c r="P520" i="1"/>
  <c r="R520" i="1" s="1"/>
  <c r="P521" i="1"/>
  <c r="P522" i="1"/>
  <c r="P523" i="1"/>
  <c r="P524" i="1"/>
  <c r="P525" i="1"/>
  <c r="R525" i="1" s="1"/>
  <c r="P526" i="1"/>
  <c r="R526" i="1" s="1"/>
  <c r="P527" i="1"/>
  <c r="P528" i="1"/>
  <c r="R528" i="1" s="1"/>
  <c r="P529" i="1"/>
  <c r="P530" i="1"/>
  <c r="P531" i="1"/>
  <c r="P532" i="1"/>
  <c r="P533" i="1"/>
  <c r="R533" i="1" s="1"/>
  <c r="P534" i="1"/>
  <c r="R534" i="1" s="1"/>
  <c r="P535" i="1"/>
  <c r="P536" i="1"/>
  <c r="R536" i="1" s="1"/>
  <c r="P537" i="1"/>
  <c r="P538" i="1"/>
  <c r="P539" i="1"/>
  <c r="P540" i="1"/>
  <c r="P541" i="1"/>
  <c r="R541" i="1" s="1"/>
  <c r="P542" i="1"/>
  <c r="R542" i="1" s="1"/>
  <c r="P543" i="1"/>
  <c r="P544" i="1"/>
  <c r="R544" i="1" s="1"/>
  <c r="P545" i="1"/>
  <c r="P546" i="1"/>
  <c r="P547" i="1"/>
  <c r="P548" i="1"/>
  <c r="P549" i="1"/>
  <c r="R549" i="1" s="1"/>
  <c r="P550" i="1"/>
  <c r="R550" i="1" s="1"/>
  <c r="P551" i="1"/>
  <c r="P552" i="1"/>
  <c r="R552" i="1" s="1"/>
  <c r="P553" i="1"/>
  <c r="P554" i="1"/>
  <c r="P555" i="1"/>
  <c r="P556" i="1"/>
  <c r="P557" i="1"/>
  <c r="R557" i="1" s="1"/>
  <c r="P558" i="1"/>
  <c r="R558" i="1" s="1"/>
  <c r="P559" i="1"/>
  <c r="P560" i="1"/>
  <c r="R560" i="1" s="1"/>
  <c r="P561" i="1"/>
  <c r="P562" i="1"/>
  <c r="P563" i="1"/>
  <c r="P564" i="1"/>
  <c r="P565" i="1"/>
  <c r="R565" i="1" s="1"/>
  <c r="P566" i="1"/>
  <c r="R566" i="1" s="1"/>
  <c r="P567" i="1"/>
  <c r="P568" i="1"/>
  <c r="R568" i="1" s="1"/>
  <c r="P569" i="1"/>
  <c r="P570" i="1"/>
  <c r="P571" i="1"/>
  <c r="P572" i="1"/>
  <c r="P573" i="1"/>
  <c r="R573" i="1" s="1"/>
  <c r="P574" i="1"/>
  <c r="R574" i="1" s="1"/>
  <c r="P575" i="1"/>
  <c r="P576" i="1"/>
  <c r="R576" i="1" s="1"/>
  <c r="P577" i="1"/>
  <c r="P578" i="1"/>
  <c r="P579" i="1"/>
  <c r="P580" i="1"/>
  <c r="P581" i="1"/>
  <c r="R581" i="1" s="1"/>
  <c r="P582" i="1"/>
  <c r="R582" i="1" s="1"/>
  <c r="P583" i="1"/>
  <c r="P584" i="1"/>
  <c r="R584" i="1" s="1"/>
  <c r="P585" i="1"/>
  <c r="P586" i="1"/>
  <c r="P587" i="1"/>
  <c r="P588" i="1"/>
  <c r="P589" i="1"/>
  <c r="R589" i="1" s="1"/>
  <c r="P590" i="1"/>
  <c r="R590" i="1" s="1"/>
  <c r="P591" i="1"/>
  <c r="P592" i="1"/>
  <c r="R592" i="1" s="1"/>
  <c r="P593" i="1"/>
  <c r="P594" i="1"/>
  <c r="P595" i="1"/>
  <c r="P596" i="1"/>
  <c r="P597" i="1"/>
  <c r="R597" i="1" s="1"/>
  <c r="P598" i="1"/>
  <c r="R598" i="1" s="1"/>
  <c r="P599" i="1"/>
  <c r="P600" i="1"/>
  <c r="R600" i="1" s="1"/>
  <c r="P601" i="1"/>
  <c r="P602" i="1"/>
  <c r="P603" i="1"/>
  <c r="P604" i="1"/>
  <c r="P605" i="1"/>
  <c r="R605" i="1" s="1"/>
  <c r="P606" i="1"/>
  <c r="R606" i="1" s="1"/>
  <c r="P607" i="1"/>
  <c r="P608" i="1"/>
  <c r="R608" i="1" s="1"/>
  <c r="P609" i="1"/>
  <c r="P610" i="1"/>
  <c r="P611" i="1"/>
  <c r="P612" i="1"/>
  <c r="P613" i="1"/>
  <c r="R613" i="1" s="1"/>
  <c r="P614" i="1"/>
  <c r="R614" i="1" s="1"/>
  <c r="P615" i="1"/>
  <c r="P616" i="1"/>
  <c r="R616" i="1" s="1"/>
  <c r="P617" i="1"/>
  <c r="P618" i="1"/>
  <c r="P619" i="1"/>
  <c r="P620" i="1"/>
  <c r="P621" i="1"/>
  <c r="R621" i="1" s="1"/>
  <c r="P622" i="1"/>
  <c r="R622" i="1" s="1"/>
  <c r="P623" i="1"/>
  <c r="P624" i="1"/>
  <c r="R624" i="1" s="1"/>
  <c r="P625" i="1"/>
  <c r="P626" i="1"/>
  <c r="P627" i="1"/>
  <c r="P628" i="1"/>
  <c r="P629" i="1"/>
  <c r="R629" i="1" s="1"/>
  <c r="P630" i="1"/>
  <c r="R630" i="1" s="1"/>
  <c r="P631" i="1"/>
  <c r="P632" i="1"/>
  <c r="R632" i="1" s="1"/>
  <c r="P633" i="1"/>
  <c r="P634" i="1"/>
  <c r="P635" i="1"/>
  <c r="P636" i="1"/>
  <c r="P637" i="1"/>
  <c r="R637" i="1" s="1"/>
  <c r="P638" i="1"/>
  <c r="R638" i="1" s="1"/>
  <c r="P639" i="1"/>
  <c r="P640" i="1"/>
  <c r="R640" i="1" s="1"/>
  <c r="P641" i="1"/>
  <c r="P642" i="1"/>
  <c r="P643" i="1"/>
  <c r="P644" i="1"/>
  <c r="P645" i="1"/>
  <c r="R645" i="1" s="1"/>
  <c r="P646" i="1"/>
  <c r="R646" i="1" s="1"/>
  <c r="P647" i="1"/>
  <c r="P648" i="1"/>
  <c r="R648" i="1" s="1"/>
  <c r="P649" i="1"/>
  <c r="P650" i="1"/>
  <c r="P651" i="1"/>
  <c r="P652" i="1"/>
  <c r="P653" i="1"/>
  <c r="R653" i="1" s="1"/>
  <c r="P654" i="1"/>
  <c r="R654" i="1" s="1"/>
  <c r="P655" i="1"/>
  <c r="P656" i="1"/>
  <c r="R656" i="1" s="1"/>
  <c r="P657" i="1"/>
  <c r="P658" i="1"/>
  <c r="P659" i="1"/>
  <c r="P660" i="1"/>
  <c r="P661" i="1"/>
  <c r="R661" i="1" s="1"/>
  <c r="P662" i="1"/>
  <c r="R662" i="1" s="1"/>
  <c r="P663" i="1"/>
  <c r="P664" i="1"/>
  <c r="R664" i="1" s="1"/>
  <c r="P665" i="1"/>
  <c r="P666" i="1"/>
  <c r="P667" i="1"/>
  <c r="P668" i="1"/>
  <c r="P669" i="1"/>
  <c r="R669" i="1" s="1"/>
  <c r="P670" i="1"/>
  <c r="R670" i="1" s="1"/>
  <c r="P671" i="1"/>
  <c r="P672" i="1"/>
  <c r="R672" i="1" s="1"/>
  <c r="P673" i="1"/>
  <c r="P674" i="1"/>
  <c r="P675" i="1"/>
  <c r="P676" i="1"/>
  <c r="P677" i="1"/>
  <c r="R677" i="1" s="1"/>
  <c r="P678" i="1"/>
  <c r="R678" i="1" s="1"/>
  <c r="P679" i="1"/>
  <c r="P680" i="1"/>
  <c r="R680" i="1" s="1"/>
  <c r="P681" i="1"/>
  <c r="P682" i="1"/>
  <c r="P683" i="1"/>
  <c r="P684" i="1"/>
  <c r="P685" i="1"/>
  <c r="R685" i="1" s="1"/>
  <c r="P686" i="1"/>
  <c r="R686" i="1" s="1"/>
  <c r="P687" i="1"/>
  <c r="P688" i="1"/>
  <c r="R688" i="1" s="1"/>
  <c r="P689" i="1"/>
  <c r="P690" i="1"/>
  <c r="P691" i="1"/>
  <c r="R691" i="1" s="1"/>
  <c r="P692" i="1"/>
  <c r="P693" i="1"/>
  <c r="R693" i="1" s="1"/>
  <c r="P694" i="1"/>
  <c r="R694" i="1" s="1"/>
  <c r="P695" i="1"/>
  <c r="P696" i="1"/>
  <c r="R696" i="1" s="1"/>
  <c r="P697" i="1"/>
  <c r="P698" i="1"/>
  <c r="P699" i="1"/>
  <c r="R699" i="1" s="1"/>
  <c r="P700" i="1"/>
  <c r="P701" i="1"/>
  <c r="R701" i="1" s="1"/>
  <c r="P702" i="1"/>
  <c r="R702" i="1" s="1"/>
  <c r="P703" i="1"/>
  <c r="P704" i="1"/>
  <c r="R704" i="1" s="1"/>
  <c r="P705" i="1"/>
  <c r="P706" i="1"/>
  <c r="P707" i="1"/>
  <c r="R707" i="1" s="1"/>
  <c r="P708" i="1"/>
  <c r="P709" i="1"/>
  <c r="R709" i="1" s="1"/>
  <c r="P710" i="1"/>
  <c r="R710" i="1" s="1"/>
  <c r="P711" i="1"/>
  <c r="P712" i="1"/>
  <c r="R712" i="1" s="1"/>
  <c r="P713" i="1"/>
  <c r="R713" i="1" s="1"/>
  <c r="P714" i="1"/>
  <c r="P715" i="1"/>
  <c r="P716" i="1"/>
  <c r="P717" i="1"/>
  <c r="R717" i="1" s="1"/>
  <c r="P718" i="1"/>
  <c r="R718" i="1" s="1"/>
  <c r="P719" i="1"/>
  <c r="P720" i="1"/>
  <c r="R720" i="1" s="1"/>
  <c r="P721" i="1"/>
  <c r="P722" i="1"/>
  <c r="P723" i="1"/>
  <c r="R723" i="1" s="1"/>
  <c r="P724" i="1"/>
  <c r="P725" i="1"/>
  <c r="R725" i="1" s="1"/>
  <c r="P726" i="1"/>
  <c r="R726" i="1" s="1"/>
  <c r="P727" i="1"/>
  <c r="P728" i="1"/>
  <c r="R728" i="1" s="1"/>
  <c r="P729" i="1"/>
  <c r="P730" i="1"/>
  <c r="P731" i="1"/>
  <c r="R731" i="1" s="1"/>
  <c r="P732" i="1"/>
  <c r="P733" i="1"/>
  <c r="R733" i="1" s="1"/>
  <c r="P734" i="1"/>
  <c r="R734" i="1" s="1"/>
  <c r="P735" i="1"/>
  <c r="P736" i="1"/>
  <c r="R736" i="1" s="1"/>
  <c r="P737" i="1"/>
  <c r="P738" i="1"/>
  <c r="P739" i="1"/>
  <c r="R739" i="1" s="1"/>
  <c r="P740" i="1"/>
  <c r="P741" i="1"/>
  <c r="R741" i="1" s="1"/>
  <c r="P742" i="1"/>
  <c r="R742" i="1" s="1"/>
  <c r="P743" i="1"/>
  <c r="P744" i="1"/>
  <c r="R744" i="1" s="1"/>
  <c r="P745" i="1"/>
  <c r="R745" i="1" s="1"/>
  <c r="P746" i="1"/>
  <c r="P747" i="1"/>
  <c r="P748" i="1"/>
  <c r="P749" i="1"/>
  <c r="R749" i="1" s="1"/>
  <c r="P750" i="1"/>
  <c r="R750" i="1" s="1"/>
  <c r="P751" i="1"/>
  <c r="P752" i="1"/>
  <c r="R752" i="1" s="1"/>
  <c r="P753" i="1"/>
  <c r="P754" i="1"/>
  <c r="P755" i="1"/>
  <c r="R755" i="1" s="1"/>
  <c r="P756" i="1"/>
  <c r="P757" i="1"/>
  <c r="R757" i="1" s="1"/>
  <c r="P758" i="1"/>
  <c r="R758" i="1" s="1"/>
  <c r="P759" i="1"/>
  <c r="P760" i="1"/>
  <c r="R760" i="1" s="1"/>
  <c r="P761" i="1"/>
  <c r="P762" i="1"/>
  <c r="P763" i="1"/>
  <c r="R763" i="1" s="1"/>
  <c r="P764" i="1"/>
  <c r="P765" i="1"/>
  <c r="R765" i="1" s="1"/>
  <c r="P766" i="1"/>
  <c r="R766" i="1" s="1"/>
  <c r="P767" i="1"/>
  <c r="P768" i="1"/>
  <c r="R768" i="1" s="1"/>
  <c r="P769" i="1"/>
  <c r="P770" i="1"/>
  <c r="P771" i="1"/>
  <c r="R771" i="1" s="1"/>
  <c r="P772" i="1"/>
  <c r="P773" i="1"/>
  <c r="R773" i="1" s="1"/>
  <c r="P774" i="1"/>
  <c r="R774" i="1" s="1"/>
  <c r="P775" i="1"/>
  <c r="P776" i="1"/>
  <c r="R776" i="1" s="1"/>
  <c r="P777" i="1"/>
  <c r="P778" i="1"/>
  <c r="P779" i="1"/>
  <c r="P780" i="1"/>
  <c r="P781" i="1"/>
  <c r="R781" i="1" s="1"/>
  <c r="P782" i="1"/>
  <c r="R782" i="1" s="1"/>
  <c r="P783" i="1"/>
  <c r="P784" i="1"/>
  <c r="R784" i="1" s="1"/>
  <c r="P785" i="1"/>
  <c r="P786" i="1"/>
  <c r="P787" i="1"/>
  <c r="R787" i="1" s="1"/>
  <c r="P788" i="1"/>
  <c r="P789" i="1"/>
  <c r="R789" i="1" s="1"/>
  <c r="P790" i="1"/>
  <c r="R790" i="1" s="1"/>
  <c r="P791" i="1"/>
  <c r="P792" i="1"/>
  <c r="R792" i="1" s="1"/>
  <c r="P793" i="1"/>
  <c r="P794" i="1"/>
  <c r="P795" i="1"/>
  <c r="R795" i="1" s="1"/>
  <c r="P796" i="1"/>
  <c r="P797" i="1"/>
  <c r="R797" i="1" s="1"/>
  <c r="P798" i="1"/>
  <c r="R798" i="1" s="1"/>
  <c r="P799" i="1"/>
  <c r="P800" i="1"/>
  <c r="R800" i="1" s="1"/>
  <c r="P801" i="1"/>
  <c r="P802" i="1"/>
  <c r="P803" i="1"/>
  <c r="R803" i="1" s="1"/>
  <c r="P804" i="1"/>
  <c r="P805" i="1"/>
  <c r="R805" i="1" s="1"/>
  <c r="P806" i="1"/>
  <c r="R806" i="1" s="1"/>
  <c r="P807" i="1"/>
  <c r="P809" i="1"/>
  <c r="P810" i="1"/>
  <c r="P811" i="1"/>
  <c r="P812" i="1"/>
  <c r="P813" i="1"/>
  <c r="P814" i="1"/>
  <c r="R814" i="1" s="1"/>
  <c r="P815" i="1"/>
  <c r="P816" i="1"/>
  <c r="P817" i="1"/>
  <c r="P818" i="1"/>
  <c r="P819" i="1"/>
  <c r="P820" i="1"/>
  <c r="P821" i="1"/>
  <c r="P822" i="1"/>
  <c r="R822" i="1" s="1"/>
  <c r="P823" i="1"/>
  <c r="P824" i="1"/>
  <c r="P825" i="1"/>
  <c r="R825" i="1" s="1"/>
  <c r="P826" i="1"/>
  <c r="P827" i="1"/>
  <c r="P828" i="1"/>
  <c r="P829" i="1"/>
  <c r="P830" i="1"/>
  <c r="R830" i="1" s="1"/>
  <c r="P831" i="1"/>
  <c r="P832" i="1"/>
  <c r="P833" i="1"/>
  <c r="R833" i="1" s="1"/>
  <c r="P834" i="1"/>
  <c r="P835" i="1"/>
  <c r="P836" i="1"/>
  <c r="P837" i="1"/>
  <c r="P838" i="1"/>
  <c r="R838" i="1" s="1"/>
  <c r="P839" i="1"/>
  <c r="P840" i="1"/>
  <c r="P841" i="1"/>
  <c r="R841" i="1" s="1"/>
  <c r="P842" i="1"/>
  <c r="P843" i="1"/>
  <c r="P844" i="1"/>
  <c r="P845" i="1"/>
  <c r="P846" i="1"/>
  <c r="R846" i="1" s="1"/>
  <c r="P847" i="1"/>
  <c r="P848" i="1"/>
  <c r="P849" i="1"/>
  <c r="R849" i="1" s="1"/>
  <c r="P850" i="1"/>
  <c r="P851" i="1"/>
  <c r="P852" i="1"/>
  <c r="P853" i="1"/>
  <c r="P854" i="1"/>
  <c r="R854" i="1" s="1"/>
  <c r="P855" i="1"/>
  <c r="P856" i="1"/>
  <c r="P857" i="1"/>
  <c r="R857" i="1" s="1"/>
  <c r="P858" i="1"/>
  <c r="P859" i="1"/>
  <c r="P860" i="1"/>
  <c r="P861" i="1"/>
  <c r="P862" i="1"/>
  <c r="R862" i="1" s="1"/>
  <c r="P863" i="1"/>
  <c r="P864" i="1"/>
  <c r="P865" i="1"/>
  <c r="R865" i="1" s="1"/>
  <c r="P866" i="1"/>
  <c r="P867" i="1"/>
  <c r="P868" i="1"/>
  <c r="P869" i="1"/>
  <c r="P870" i="1"/>
  <c r="R870" i="1" s="1"/>
  <c r="P871" i="1"/>
  <c r="P872" i="1"/>
  <c r="P873" i="1"/>
  <c r="R873" i="1" s="1"/>
  <c r="P874" i="1"/>
  <c r="P875" i="1"/>
  <c r="P876" i="1"/>
  <c r="P877" i="1"/>
  <c r="P878" i="1"/>
  <c r="R878" i="1" s="1"/>
  <c r="P879" i="1"/>
  <c r="P880" i="1"/>
  <c r="P881" i="1"/>
  <c r="R881" i="1" s="1"/>
  <c r="P882" i="1"/>
  <c r="P883" i="1"/>
  <c r="P884" i="1"/>
  <c r="P886" i="1"/>
  <c r="P887" i="1"/>
  <c r="R887" i="1" s="1"/>
  <c r="P888" i="1"/>
  <c r="P890" i="1"/>
  <c r="P891" i="1"/>
  <c r="R891" i="1" s="1"/>
  <c r="P892" i="1"/>
  <c r="P894" i="1"/>
  <c r="P895" i="1"/>
  <c r="P896" i="1"/>
  <c r="P898" i="1"/>
  <c r="R898" i="1" s="1"/>
  <c r="P899" i="1"/>
  <c r="P900" i="1"/>
  <c r="P902" i="1"/>
  <c r="R902" i="1" s="1"/>
  <c r="P903" i="1"/>
  <c r="P904" i="1"/>
  <c r="P906" i="1"/>
  <c r="P907" i="1"/>
  <c r="P909" i="1"/>
  <c r="R909" i="1" s="1"/>
  <c r="P910" i="1"/>
  <c r="P911" i="1"/>
  <c r="P912" i="1"/>
  <c r="R912" i="1" s="1"/>
  <c r="P914" i="1"/>
  <c r="P915" i="1"/>
  <c r="P917" i="1"/>
  <c r="P918" i="1"/>
  <c r="P920" i="1"/>
  <c r="R920" i="1" s="1"/>
  <c r="P921" i="1"/>
  <c r="P922" i="1"/>
  <c r="P924" i="1"/>
  <c r="R924" i="1" s="1"/>
  <c r="P925" i="1"/>
  <c r="P926" i="1"/>
  <c r="P927" i="1"/>
  <c r="P929" i="1"/>
  <c r="P930" i="1"/>
  <c r="P931" i="1"/>
  <c r="P933" i="1"/>
  <c r="P934" i="1"/>
  <c r="R934" i="1" s="1"/>
  <c r="P935" i="1"/>
  <c r="P936" i="1"/>
  <c r="P938" i="1"/>
  <c r="P939" i="1"/>
  <c r="P940" i="1"/>
  <c r="R940" i="1" s="1"/>
  <c r="P941" i="1"/>
  <c r="P942" i="1"/>
  <c r="P944" i="1"/>
  <c r="R944" i="1" s="1"/>
  <c r="P945" i="1"/>
  <c r="P947" i="1"/>
  <c r="P948" i="1"/>
  <c r="P949" i="1"/>
  <c r="P951" i="1"/>
  <c r="R951" i="1" s="1"/>
  <c r="P952" i="1"/>
  <c r="P953" i="1"/>
  <c r="P955" i="1"/>
  <c r="R955" i="1" s="1"/>
  <c r="P956" i="1"/>
  <c r="P957" i="1"/>
  <c r="P958" i="1"/>
  <c r="P959" i="1"/>
  <c r="P961" i="1"/>
  <c r="R961" i="1" s="1"/>
  <c r="P962" i="1"/>
  <c r="P963" i="1"/>
  <c r="P964" i="1"/>
  <c r="R964" i="1" s="1"/>
  <c r="P966" i="1"/>
  <c r="P967" i="1"/>
  <c r="P968" i="1"/>
  <c r="P969" i="1"/>
  <c r="P970" i="1"/>
  <c r="R970" i="1" s="1"/>
  <c r="P971" i="1"/>
  <c r="P973" i="1"/>
  <c r="P974" i="1"/>
  <c r="R974" i="1" s="1"/>
  <c r="P975" i="1"/>
  <c r="P976" i="1"/>
  <c r="P977" i="1"/>
  <c r="P979" i="1"/>
  <c r="P980" i="1"/>
  <c r="R980" i="1" s="1"/>
  <c r="P981" i="1"/>
  <c r="P982" i="1"/>
  <c r="P983" i="1"/>
  <c r="P984" i="1"/>
  <c r="P986" i="1"/>
  <c r="P987" i="1"/>
  <c r="P988" i="1"/>
  <c r="P989" i="1"/>
  <c r="R989" i="1" s="1"/>
  <c r="P990" i="1"/>
  <c r="P991" i="1"/>
  <c r="P992" i="1"/>
  <c r="R992" i="1" s="1"/>
  <c r="P993" i="1"/>
  <c r="P994" i="1"/>
  <c r="P995" i="1"/>
  <c r="P996" i="1"/>
  <c r="P997" i="1"/>
  <c r="R997" i="1" s="1"/>
  <c r="P999" i="1"/>
  <c r="P1000" i="1"/>
  <c r="P1001" i="1"/>
  <c r="R1001" i="1" s="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2" i="1"/>
  <c r="L3" i="1"/>
  <c r="L4" i="1"/>
  <c r="L5" i="1"/>
  <c r="L6" i="1"/>
  <c r="L7" i="1"/>
  <c r="L8" i="1"/>
  <c r="L9" i="1"/>
  <c r="L10" i="1"/>
  <c r="L11" i="1"/>
  <c r="L12" i="1"/>
  <c r="L13" i="1"/>
  <c r="L14" i="1"/>
  <c r="L15" i="1"/>
  <c r="L16" i="1"/>
  <c r="L17" i="1"/>
  <c r="L18" i="1"/>
  <c r="L19"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2" i="1"/>
  <c r="H998" i="1"/>
  <c r="Q998" i="1" s="1"/>
  <c r="H985" i="1"/>
  <c r="Q985" i="1" s="1"/>
  <c r="H978" i="1"/>
  <c r="Q978" i="1" s="1"/>
  <c r="H972" i="1"/>
  <c r="Q972" i="1" s="1"/>
  <c r="H965" i="1"/>
  <c r="Q965" i="1" s="1"/>
  <c r="H960" i="1"/>
  <c r="Q960" i="1" s="1"/>
  <c r="H954" i="1"/>
  <c r="H950" i="1"/>
  <c r="Q950" i="1" s="1"/>
  <c r="H946" i="1"/>
  <c r="H943" i="1"/>
  <c r="H937" i="1"/>
  <c r="H932" i="1"/>
  <c r="Q932" i="1" s="1"/>
  <c r="H928" i="1"/>
  <c r="Q928" i="1" s="1"/>
  <c r="H923" i="1"/>
  <c r="Q923" i="1" s="1"/>
  <c r="H919" i="1"/>
  <c r="H916" i="1"/>
  <c r="Q916" i="1" s="1"/>
  <c r="H913" i="1"/>
  <c r="Q913" i="1" s="1"/>
  <c r="H908" i="1"/>
  <c r="Q908" i="1" s="1"/>
  <c r="H905" i="1"/>
  <c r="Q905" i="1" s="1"/>
  <c r="H901" i="1"/>
  <c r="Q901" i="1" s="1"/>
  <c r="H897" i="1"/>
  <c r="Q897" i="1" s="1"/>
  <c r="H893" i="1"/>
  <c r="Q893" i="1" s="1"/>
  <c r="H889" i="1"/>
  <c r="H885" i="1"/>
  <c r="Q885" i="1" s="1"/>
  <c r="P919" i="1" l="1"/>
  <c r="Q919" i="1"/>
  <c r="P889" i="1"/>
  <c r="Q889" i="1"/>
  <c r="P954" i="1"/>
  <c r="Q954" i="1"/>
  <c r="R954" i="1" s="1"/>
  <c r="P937" i="1"/>
  <c r="Q937" i="1"/>
  <c r="P943" i="1"/>
  <c r="Q943" i="1"/>
  <c r="R943" i="1" s="1"/>
  <c r="P946" i="1"/>
  <c r="Q946" i="1"/>
  <c r="R41" i="1"/>
  <c r="P808" i="1"/>
  <c r="R808" i="1" s="1"/>
  <c r="R994" i="1"/>
  <c r="R986" i="1"/>
  <c r="R976" i="1"/>
  <c r="R967" i="1"/>
  <c r="R957" i="1"/>
  <c r="R947" i="1"/>
  <c r="R936" i="1"/>
  <c r="R926" i="1"/>
  <c r="R915" i="1"/>
  <c r="R904" i="1"/>
  <c r="R894" i="1"/>
  <c r="R883" i="1"/>
  <c r="R875" i="1"/>
  <c r="R867" i="1"/>
  <c r="R859" i="1"/>
  <c r="R851" i="1"/>
  <c r="R843" i="1"/>
  <c r="R835" i="1"/>
  <c r="R827" i="1"/>
  <c r="R819" i="1"/>
  <c r="R811" i="1"/>
  <c r="R658" i="1"/>
  <c r="R634" i="1"/>
  <c r="R626" i="1"/>
  <c r="R578" i="1"/>
  <c r="R562" i="1"/>
  <c r="R514" i="1"/>
  <c r="R450" i="1"/>
  <c r="R434" i="1"/>
  <c r="R426" i="1"/>
  <c r="R418" i="1"/>
  <c r="R410" i="1"/>
  <c r="R402" i="1"/>
  <c r="R394" i="1"/>
  <c r="R386" i="1"/>
  <c r="R378" i="1"/>
  <c r="R370" i="1"/>
  <c r="R362" i="1"/>
  <c r="R354" i="1"/>
  <c r="R346" i="1"/>
  <c r="R338" i="1"/>
  <c r="R330" i="1"/>
  <c r="R322" i="1"/>
  <c r="R314" i="1"/>
  <c r="R306" i="1"/>
  <c r="R298" i="1"/>
  <c r="R290" i="1"/>
  <c r="R282" i="1"/>
  <c r="R274" i="1"/>
  <c r="R266" i="1"/>
  <c r="R258" i="1"/>
  <c r="R250" i="1"/>
  <c r="R242" i="1"/>
  <c r="R234" i="1"/>
  <c r="R226" i="1"/>
  <c r="R218" i="1"/>
  <c r="R210" i="1"/>
  <c r="R202" i="1"/>
  <c r="R194" i="1"/>
  <c r="R186" i="1"/>
  <c r="R178" i="1"/>
  <c r="R170" i="1"/>
  <c r="R162" i="1"/>
  <c r="R154" i="1"/>
  <c r="R146" i="1"/>
  <c r="R138" i="1"/>
  <c r="R130" i="1"/>
  <c r="R122" i="1"/>
  <c r="R114" i="1"/>
  <c r="R106" i="1"/>
  <c r="R98" i="1"/>
  <c r="R90" i="1"/>
  <c r="R82" i="1"/>
  <c r="R74" i="1"/>
  <c r="R66" i="1"/>
  <c r="R58" i="1"/>
  <c r="R50" i="1"/>
  <c r="R42" i="1"/>
  <c r="R34" i="1"/>
  <c r="R26" i="1"/>
  <c r="R18" i="1"/>
  <c r="R10" i="1"/>
  <c r="R996" i="1"/>
  <c r="R988" i="1"/>
  <c r="R979" i="1"/>
  <c r="R969" i="1"/>
  <c r="R959" i="1"/>
  <c r="R949" i="1"/>
  <c r="R929" i="1"/>
  <c r="R918" i="1"/>
  <c r="R907" i="1"/>
  <c r="R896" i="1"/>
  <c r="R886" i="1"/>
  <c r="R877" i="1"/>
  <c r="R869" i="1"/>
  <c r="R861" i="1"/>
  <c r="R853" i="1"/>
  <c r="R845" i="1"/>
  <c r="R837" i="1"/>
  <c r="R829" i="1"/>
  <c r="R821" i="1"/>
  <c r="R813" i="1"/>
  <c r="R995" i="1"/>
  <c r="R987" i="1"/>
  <c r="R977" i="1"/>
  <c r="R968" i="1"/>
  <c r="R958" i="1"/>
  <c r="R948" i="1"/>
  <c r="R917" i="1"/>
  <c r="R906" i="1"/>
  <c r="R895" i="1"/>
  <c r="R884" i="1"/>
  <c r="R876" i="1"/>
  <c r="R868" i="1"/>
  <c r="R860" i="1"/>
  <c r="R852" i="1"/>
  <c r="R844" i="1"/>
  <c r="R836" i="1"/>
  <c r="R828" i="1"/>
  <c r="R820" i="1"/>
  <c r="R812" i="1"/>
  <c r="R804" i="1"/>
  <c r="R796" i="1"/>
  <c r="R788" i="1"/>
  <c r="R780" i="1"/>
  <c r="R772" i="1"/>
  <c r="R764" i="1"/>
  <c r="R756" i="1"/>
  <c r="R748" i="1"/>
  <c r="R740" i="1"/>
  <c r="R732" i="1"/>
  <c r="R724" i="1"/>
  <c r="R716" i="1"/>
  <c r="R708" i="1"/>
  <c r="R700" i="1"/>
  <c r="R692" i="1"/>
  <c r="R684" i="1"/>
  <c r="R676" i="1"/>
  <c r="R2" i="1"/>
  <c r="R993" i="1"/>
  <c r="R984" i="1"/>
  <c r="R966" i="1"/>
  <c r="R956" i="1"/>
  <c r="R945" i="1"/>
  <c r="R935" i="1"/>
  <c r="R925" i="1"/>
  <c r="R914" i="1"/>
  <c r="R892" i="1"/>
  <c r="R817" i="1"/>
  <c r="R809" i="1"/>
  <c r="R801" i="1"/>
  <c r="R793" i="1"/>
  <c r="R785" i="1"/>
  <c r="R777" i="1"/>
  <c r="R769" i="1"/>
  <c r="R761" i="1"/>
  <c r="R753" i="1"/>
  <c r="R737" i="1"/>
  <c r="R729" i="1"/>
  <c r="R721" i="1"/>
  <c r="R705" i="1"/>
  <c r="R697" i="1"/>
  <c r="R689" i="1"/>
  <c r="R313" i="1"/>
  <c r="R668" i="1"/>
  <c r="R660" i="1"/>
  <c r="R652" i="1"/>
  <c r="R644" i="1"/>
  <c r="R636" i="1"/>
  <c r="R628" i="1"/>
  <c r="R620" i="1"/>
  <c r="R612" i="1"/>
  <c r="R604" i="1"/>
  <c r="R596" i="1"/>
  <c r="R588" i="1"/>
  <c r="R580" i="1"/>
  <c r="R572" i="1"/>
  <c r="R564" i="1"/>
  <c r="R556" i="1"/>
  <c r="R548" i="1"/>
  <c r="R540" i="1"/>
  <c r="R532" i="1"/>
  <c r="R524" i="1"/>
  <c r="R516" i="1"/>
  <c r="R508" i="1"/>
  <c r="R500" i="1"/>
  <c r="R492" i="1"/>
  <c r="R484" i="1"/>
  <c r="R476" i="1"/>
  <c r="R468" i="1"/>
  <c r="R460" i="1"/>
  <c r="R452" i="1"/>
  <c r="R444" i="1"/>
  <c r="R436" i="1"/>
  <c r="R428" i="1"/>
  <c r="R420" i="1"/>
  <c r="R412" i="1"/>
  <c r="R404" i="1"/>
  <c r="R396" i="1"/>
  <c r="R388" i="1"/>
  <c r="R380" i="1"/>
  <c r="R372" i="1"/>
  <c r="R364" i="1"/>
  <c r="R356" i="1"/>
  <c r="R348" i="1"/>
  <c r="R340" i="1"/>
  <c r="R332" i="1"/>
  <c r="R324" i="1"/>
  <c r="R316" i="1"/>
  <c r="R308" i="1"/>
  <c r="R300" i="1"/>
  <c r="R292" i="1"/>
  <c r="R284" i="1"/>
  <c r="R276" i="1"/>
  <c r="R268" i="1"/>
  <c r="R260" i="1"/>
  <c r="R252" i="1"/>
  <c r="R244" i="1"/>
  <c r="R236" i="1"/>
  <c r="R228" i="1"/>
  <c r="R220" i="1"/>
  <c r="R212" i="1"/>
  <c r="R204" i="1"/>
  <c r="R196" i="1"/>
  <c r="R188" i="1"/>
  <c r="R180" i="1"/>
  <c r="R172" i="1"/>
  <c r="R164" i="1"/>
  <c r="R156" i="1"/>
  <c r="R148" i="1"/>
  <c r="R140" i="1"/>
  <c r="R132" i="1"/>
  <c r="R124" i="1"/>
  <c r="R116" i="1"/>
  <c r="R108" i="1"/>
  <c r="R100" i="1"/>
  <c r="R92" i="1"/>
  <c r="R84" i="1"/>
  <c r="R76" i="1"/>
  <c r="R68" i="1"/>
  <c r="R60" i="1"/>
  <c r="R52" i="1"/>
  <c r="R44" i="1"/>
  <c r="R36" i="1"/>
  <c r="R28" i="1"/>
  <c r="R20" i="1"/>
  <c r="R12" i="1"/>
  <c r="R4" i="1"/>
  <c r="R971" i="1"/>
  <c r="R941" i="1"/>
  <c r="R931" i="1"/>
  <c r="R921" i="1"/>
  <c r="R910" i="1"/>
  <c r="R899" i="1"/>
  <c r="R888" i="1"/>
  <c r="R879" i="1"/>
  <c r="R871" i="1"/>
  <c r="R863" i="1"/>
  <c r="R855" i="1"/>
  <c r="R847" i="1"/>
  <c r="R839" i="1"/>
  <c r="R831" i="1"/>
  <c r="R823" i="1"/>
  <c r="R815" i="1"/>
  <c r="R807" i="1"/>
  <c r="R799" i="1"/>
  <c r="R791" i="1"/>
  <c r="R783" i="1"/>
  <c r="R775" i="1"/>
  <c r="R767" i="1"/>
  <c r="R759" i="1"/>
  <c r="R751" i="1"/>
  <c r="R743" i="1"/>
  <c r="R735" i="1"/>
  <c r="R727" i="1"/>
  <c r="R719" i="1"/>
  <c r="R711" i="1"/>
  <c r="R703" i="1"/>
  <c r="R695" i="1"/>
  <c r="R687" i="1"/>
  <c r="R679" i="1"/>
  <c r="R671" i="1"/>
  <c r="R663" i="1"/>
  <c r="R655" i="1"/>
  <c r="P950" i="1"/>
  <c r="R950" i="1" s="1"/>
  <c r="P998" i="1"/>
  <c r="R939" i="1"/>
  <c r="R1000" i="1"/>
  <c r="R779" i="1"/>
  <c r="R747" i="1"/>
  <c r="R715" i="1"/>
  <c r="R683" i="1"/>
  <c r="R982" i="1"/>
  <c r="R973" i="1"/>
  <c r="R963" i="1"/>
  <c r="R953" i="1"/>
  <c r="R498" i="1"/>
  <c r="R990" i="1"/>
  <c r="R981" i="1"/>
  <c r="R962" i="1"/>
  <c r="R952" i="1"/>
  <c r="R942" i="1"/>
  <c r="R933" i="1"/>
  <c r="R922" i="1"/>
  <c r="R900" i="1"/>
  <c r="R890" i="1"/>
  <c r="R880" i="1"/>
  <c r="R872" i="1"/>
  <c r="R864" i="1"/>
  <c r="R856" i="1"/>
  <c r="R848" i="1"/>
  <c r="R840" i="1"/>
  <c r="R832" i="1"/>
  <c r="R824" i="1"/>
  <c r="R816" i="1"/>
  <c r="R647" i="1"/>
  <c r="R639" i="1"/>
  <c r="R631" i="1"/>
  <c r="R623" i="1"/>
  <c r="R615" i="1"/>
  <c r="R607" i="1"/>
  <c r="R599" i="1"/>
  <c r="R591" i="1"/>
  <c r="R583" i="1"/>
  <c r="R575" i="1"/>
  <c r="R567" i="1"/>
  <c r="R559" i="1"/>
  <c r="R551" i="1"/>
  <c r="R543" i="1"/>
  <c r="R535" i="1"/>
  <c r="R527" i="1"/>
  <c r="R519" i="1"/>
  <c r="R511" i="1"/>
  <c r="R503" i="1"/>
  <c r="R495" i="1"/>
  <c r="R487" i="1"/>
  <c r="R479" i="1"/>
  <c r="R471" i="1"/>
  <c r="R463" i="1"/>
  <c r="R455" i="1"/>
  <c r="R447" i="1"/>
  <c r="R439" i="1"/>
  <c r="R431" i="1"/>
  <c r="R423" i="1"/>
  <c r="R415" i="1"/>
  <c r="R407" i="1"/>
  <c r="R399" i="1"/>
  <c r="R391" i="1"/>
  <c r="R383" i="1"/>
  <c r="R375" i="1"/>
  <c r="R367" i="1"/>
  <c r="R359" i="1"/>
  <c r="R351" i="1"/>
  <c r="R343" i="1"/>
  <c r="R335" i="1"/>
  <c r="R327" i="1"/>
  <c r="R319" i="1"/>
  <c r="R311" i="1"/>
  <c r="R303" i="1"/>
  <c r="R295" i="1"/>
  <c r="R287" i="1"/>
  <c r="R279" i="1"/>
  <c r="R271" i="1"/>
  <c r="R263" i="1"/>
  <c r="R255" i="1"/>
  <c r="R247" i="1"/>
  <c r="R239" i="1"/>
  <c r="R231" i="1"/>
  <c r="R223" i="1"/>
  <c r="R215" i="1"/>
  <c r="R207" i="1"/>
  <c r="R199" i="1"/>
  <c r="R191" i="1"/>
  <c r="R183" i="1"/>
  <c r="R175" i="1"/>
  <c r="R167" i="1"/>
  <c r="R159" i="1"/>
  <c r="R151" i="1"/>
  <c r="R143" i="1"/>
  <c r="R135" i="1"/>
  <c r="R127" i="1"/>
  <c r="R119" i="1"/>
  <c r="R111" i="1"/>
  <c r="R103" i="1"/>
  <c r="R95" i="1"/>
  <c r="R87" i="1"/>
  <c r="R79" i="1"/>
  <c r="R71" i="1"/>
  <c r="R63" i="1"/>
  <c r="R55" i="1"/>
  <c r="R47" i="1"/>
  <c r="R39" i="1"/>
  <c r="R31" i="1"/>
  <c r="R23" i="1"/>
  <c r="R15" i="1"/>
  <c r="R7" i="1"/>
  <c r="P965" i="1"/>
  <c r="R965" i="1" s="1"/>
  <c r="P901" i="1"/>
  <c r="R901" i="1" s="1"/>
  <c r="P893" i="1"/>
  <c r="R893" i="1" s="1"/>
  <c r="P885" i="1"/>
  <c r="R885" i="1" s="1"/>
  <c r="P972" i="1"/>
  <c r="R972" i="1" s="1"/>
  <c r="P932" i="1"/>
  <c r="R932" i="1" s="1"/>
  <c r="P916" i="1"/>
  <c r="R916" i="1" s="1"/>
  <c r="P908" i="1"/>
  <c r="R908" i="1" s="1"/>
  <c r="P923" i="1"/>
  <c r="R923" i="1" s="1"/>
  <c r="R675" i="1"/>
  <c r="R667" i="1"/>
  <c r="R659" i="1"/>
  <c r="R651" i="1"/>
  <c r="R643" i="1"/>
  <c r="R635" i="1"/>
  <c r="R627" i="1"/>
  <c r="R619" i="1"/>
  <c r="R611" i="1"/>
  <c r="R603" i="1"/>
  <c r="R595" i="1"/>
  <c r="R587" i="1"/>
  <c r="R579" i="1"/>
  <c r="R571" i="1"/>
  <c r="R563" i="1"/>
  <c r="R555" i="1"/>
  <c r="R547" i="1"/>
  <c r="R539" i="1"/>
  <c r="R531" i="1"/>
  <c r="R523" i="1"/>
  <c r="R515" i="1"/>
  <c r="R507" i="1"/>
  <c r="R499" i="1"/>
  <c r="R491" i="1"/>
  <c r="R483" i="1"/>
  <c r="R475" i="1"/>
  <c r="R467" i="1"/>
  <c r="R459" i="1"/>
  <c r="R451" i="1"/>
  <c r="R443" i="1"/>
  <c r="R435" i="1"/>
  <c r="R427" i="1"/>
  <c r="R419" i="1"/>
  <c r="R411" i="1"/>
  <c r="R403" i="1"/>
  <c r="R395" i="1"/>
  <c r="R387" i="1"/>
  <c r="R379" i="1"/>
  <c r="R371" i="1"/>
  <c r="R363" i="1"/>
  <c r="R355" i="1"/>
  <c r="R347" i="1"/>
  <c r="R339" i="1"/>
  <c r="R331" i="1"/>
  <c r="R323" i="1"/>
  <c r="R315" i="1"/>
  <c r="R307" i="1"/>
  <c r="R299" i="1"/>
  <c r="R291" i="1"/>
  <c r="R283" i="1"/>
  <c r="R275" i="1"/>
  <c r="R267" i="1"/>
  <c r="R259" i="1"/>
  <c r="R251" i="1"/>
  <c r="R243" i="1"/>
  <c r="R235" i="1"/>
  <c r="P978" i="1"/>
  <c r="R978" i="1" s="1"/>
  <c r="R938" i="1"/>
  <c r="R930" i="1"/>
  <c r="R882" i="1"/>
  <c r="R874" i="1"/>
  <c r="R866" i="1"/>
  <c r="R858" i="1"/>
  <c r="R850" i="1"/>
  <c r="R842" i="1"/>
  <c r="R834" i="1"/>
  <c r="R826" i="1"/>
  <c r="R818" i="1"/>
  <c r="R810" i="1"/>
  <c r="R802" i="1"/>
  <c r="R794" i="1"/>
  <c r="R786" i="1"/>
  <c r="R778" i="1"/>
  <c r="R770" i="1"/>
  <c r="R762" i="1"/>
  <c r="R754" i="1"/>
  <c r="R746" i="1"/>
  <c r="R738" i="1"/>
  <c r="R730" i="1"/>
  <c r="R722" i="1"/>
  <c r="R714" i="1"/>
  <c r="R706" i="1"/>
  <c r="R698" i="1"/>
  <c r="R690" i="1"/>
  <c r="R682" i="1"/>
  <c r="R674" i="1"/>
  <c r="R666" i="1"/>
  <c r="R650" i="1"/>
  <c r="R642" i="1"/>
  <c r="R618" i="1"/>
  <c r="R610" i="1"/>
  <c r="R602" i="1"/>
  <c r="R594" i="1"/>
  <c r="R586" i="1"/>
  <c r="R570" i="1"/>
  <c r="R554" i="1"/>
  <c r="R546" i="1"/>
  <c r="R538" i="1"/>
  <c r="R530" i="1"/>
  <c r="R522" i="1"/>
  <c r="R506" i="1"/>
  <c r="R490" i="1"/>
  <c r="R482" i="1"/>
  <c r="R474" i="1"/>
  <c r="R466" i="1"/>
  <c r="R458" i="1"/>
  <c r="R442" i="1"/>
  <c r="R889" i="1"/>
  <c r="P985" i="1"/>
  <c r="R985" i="1" s="1"/>
  <c r="P913" i="1"/>
  <c r="R913" i="1" s="1"/>
  <c r="P905" i="1"/>
  <c r="R905" i="1" s="1"/>
  <c r="P897" i="1"/>
  <c r="R897" i="1" s="1"/>
  <c r="R681" i="1"/>
  <c r="R673" i="1"/>
  <c r="R665" i="1"/>
  <c r="R657" i="1"/>
  <c r="R649" i="1"/>
  <c r="R641" i="1"/>
  <c r="R633" i="1"/>
  <c r="R625" i="1"/>
  <c r="R617" i="1"/>
  <c r="R609" i="1"/>
  <c r="R601" i="1"/>
  <c r="R593" i="1"/>
  <c r="R585" i="1"/>
  <c r="R577" i="1"/>
  <c r="R569" i="1"/>
  <c r="R561" i="1"/>
  <c r="R553" i="1"/>
  <c r="R545" i="1"/>
  <c r="R537" i="1"/>
  <c r="R529" i="1"/>
  <c r="R521" i="1"/>
  <c r="R513" i="1"/>
  <c r="R505" i="1"/>
  <c r="R497" i="1"/>
  <c r="R489" i="1"/>
  <c r="R481" i="1"/>
  <c r="R473" i="1"/>
  <c r="R465" i="1"/>
  <c r="R457" i="1"/>
  <c r="R449" i="1"/>
  <c r="R441" i="1"/>
  <c r="R433" i="1"/>
  <c r="R425" i="1"/>
  <c r="R417" i="1"/>
  <c r="R409" i="1"/>
  <c r="R401" i="1"/>
  <c r="R393" i="1"/>
  <c r="R385" i="1"/>
  <c r="R377" i="1"/>
  <c r="R369" i="1"/>
  <c r="R361" i="1"/>
  <c r="R353" i="1"/>
  <c r="R345" i="1"/>
  <c r="R337" i="1"/>
  <c r="R329" i="1"/>
  <c r="R321" i="1"/>
  <c r="P960" i="1"/>
  <c r="R960" i="1" s="1"/>
  <c r="P928" i="1"/>
  <c r="R928" i="1" s="1"/>
  <c r="R999" i="1"/>
  <c r="R991" i="1"/>
  <c r="R983" i="1"/>
  <c r="R975" i="1"/>
  <c r="R927" i="1"/>
  <c r="R911" i="1"/>
  <c r="R903" i="1"/>
  <c r="R227" i="1"/>
  <c r="R219" i="1"/>
  <c r="R211" i="1"/>
  <c r="R203" i="1"/>
  <c r="R195" i="1"/>
  <c r="R187" i="1"/>
  <c r="R179" i="1"/>
  <c r="R171" i="1"/>
  <c r="R163" i="1"/>
  <c r="R155" i="1"/>
  <c r="R147" i="1"/>
  <c r="R139" i="1"/>
  <c r="R131" i="1"/>
  <c r="R123" i="1"/>
  <c r="R115" i="1"/>
  <c r="R107" i="1"/>
  <c r="R99" i="1"/>
  <c r="R91" i="1"/>
  <c r="R83" i="1"/>
  <c r="R75" i="1"/>
  <c r="R67" i="1"/>
  <c r="R59" i="1"/>
  <c r="R51" i="1"/>
  <c r="R43" i="1"/>
  <c r="R35" i="1"/>
  <c r="R27" i="1"/>
  <c r="R19" i="1"/>
  <c r="R11" i="1"/>
  <c r="R3" i="1"/>
  <c r="R919" i="1" l="1"/>
  <c r="R937" i="1"/>
  <c r="R946" i="1"/>
  <c r="R998" i="1"/>
</calcChain>
</file>

<file path=xl/sharedStrings.xml><?xml version="1.0" encoding="utf-8"?>
<sst xmlns="http://schemas.openxmlformats.org/spreadsheetml/2006/main" count="7342" uniqueCount="2166">
  <si>
    <t>Order ID</t>
  </si>
  <si>
    <t>Customer Name</t>
  </si>
  <si>
    <t>Product Category</t>
  </si>
  <si>
    <t>Product Name</t>
  </si>
  <si>
    <t>Order Date</t>
  </si>
  <si>
    <t>Delivered Date</t>
  </si>
  <si>
    <t>Quantity</t>
  </si>
  <si>
    <t>Status</t>
  </si>
  <si>
    <t>Payment Method</t>
  </si>
  <si>
    <t>ORD-0001</t>
  </si>
  <si>
    <t>Bonni Armatage</t>
  </si>
  <si>
    <t>Moisturizer</t>
  </si>
  <si>
    <t>Night Cream</t>
  </si>
  <si>
    <t>Completed</t>
  </si>
  <si>
    <t>Credit Card</t>
  </si>
  <si>
    <t>ORD-0002</t>
  </si>
  <si>
    <t>Dona Oxbrough</t>
  </si>
  <si>
    <t>Sunscreen</t>
  </si>
  <si>
    <t>Sensitive Sunscreen</t>
  </si>
  <si>
    <t>Bank Transfer</t>
  </si>
  <si>
    <t>ORD-0003</t>
  </si>
  <si>
    <t>Hiram Momery</t>
  </si>
  <si>
    <t>Serum</t>
  </si>
  <si>
    <t>Retinol Serum</t>
  </si>
  <si>
    <t>ORD-0004</t>
  </si>
  <si>
    <t>Delora Streetfield</t>
  </si>
  <si>
    <t>Toner</t>
  </si>
  <si>
    <t>Soothing Toner</t>
  </si>
  <si>
    <t>E-Wallet</t>
  </si>
  <si>
    <t>ORD-0005</t>
  </si>
  <si>
    <t>Brigida Jobbing</t>
  </si>
  <si>
    <t>Daily Moisturizer</t>
  </si>
  <si>
    <t>ORD-0006</t>
  </si>
  <si>
    <t>Morgana Duquesnay</t>
  </si>
  <si>
    <t>ORD-0007</t>
  </si>
  <si>
    <t>Brennen Siggee</t>
  </si>
  <si>
    <t>Repair Cream</t>
  </si>
  <si>
    <t>ORD-0008</t>
  </si>
  <si>
    <t>Gerri Rishman</t>
  </si>
  <si>
    <t>Gel Moisturizer</t>
  </si>
  <si>
    <t>Returned</t>
  </si>
  <si>
    <t>ORD-0009</t>
  </si>
  <si>
    <t>Roscoe Grason</t>
  </si>
  <si>
    <t>ORD-0010</t>
  </si>
  <si>
    <t>Johan Drinnan</t>
  </si>
  <si>
    <t>Brightening Toner</t>
  </si>
  <si>
    <t>ORD-0011</t>
  </si>
  <si>
    <t>Jone Searson</t>
  </si>
  <si>
    <t>ORD-0012</t>
  </si>
  <si>
    <t>Cletis Snugg</t>
  </si>
  <si>
    <t>Matte Sunscreen</t>
  </si>
  <si>
    <t>ORD-0013</t>
  </si>
  <si>
    <t>Edythe Legen</t>
  </si>
  <si>
    <t>Sunscreen SPF 30</t>
  </si>
  <si>
    <t>ORD-0014</t>
  </si>
  <si>
    <t>Shandie Bretelle</t>
  </si>
  <si>
    <t>Hyaluronic Acid Serum</t>
  </si>
  <si>
    <t>ORD-0015</t>
  </si>
  <si>
    <t>Quentin Wiggett</t>
  </si>
  <si>
    <t>Vitamin C Serum</t>
  </si>
  <si>
    <t>ORD-0016</t>
  </si>
  <si>
    <t>Jordon Robic</t>
  </si>
  <si>
    <t>Niacinamide Serum</t>
  </si>
  <si>
    <t>ORD-0017</t>
  </si>
  <si>
    <t>Kristian McCrea</t>
  </si>
  <si>
    <t>Cleanser</t>
  </si>
  <si>
    <t>Acne Cleanser</t>
  </si>
  <si>
    <t>ORD-0018</t>
  </si>
  <si>
    <t>Eyde Edwardes</t>
  </si>
  <si>
    <t>ORD-0019</t>
  </si>
  <si>
    <t>Kimberley Telezhkin</t>
  </si>
  <si>
    <t>ORD-0020</t>
  </si>
  <si>
    <t>Shanna Spuffard</t>
  </si>
  <si>
    <t>ORD-0021</t>
  </si>
  <si>
    <t>Lowrance Horsewood</t>
  </si>
  <si>
    <t>ORD-0022</t>
  </si>
  <si>
    <t>Jedd Townley</t>
  </si>
  <si>
    <t>ORD-0023</t>
  </si>
  <si>
    <t>Rodney Micklewicz</t>
  </si>
  <si>
    <t>Sunscreen SPF 50</t>
  </si>
  <si>
    <t>ORD-0024</t>
  </si>
  <si>
    <t>Katalin Kisby</t>
  </si>
  <si>
    <t>Hydrating Toner</t>
  </si>
  <si>
    <t>ORD-0025</t>
  </si>
  <si>
    <t>Jacinda Lainge</t>
  </si>
  <si>
    <t>ORD-0026</t>
  </si>
  <si>
    <t>Gene Frudd</t>
  </si>
  <si>
    <t>ORD-0027</t>
  </si>
  <si>
    <t>Lawry Brendish</t>
  </si>
  <si>
    <t>ORD-0028</t>
  </si>
  <si>
    <t>Nelli Bartul</t>
  </si>
  <si>
    <t>ORD-0029</t>
  </si>
  <si>
    <t>Charleen Brezlaw</t>
  </si>
  <si>
    <t>ORD-0030</t>
  </si>
  <si>
    <t>Roanne McGoldrick</t>
  </si>
  <si>
    <t>ORD-0031</t>
  </si>
  <si>
    <t>Issy Cano</t>
  </si>
  <si>
    <t>ORD-0032</t>
  </si>
  <si>
    <t>Farah Rizzone</t>
  </si>
  <si>
    <t>Hydrating Cleanser</t>
  </si>
  <si>
    <t>ORD-0033</t>
  </si>
  <si>
    <t>Astrix Buglar</t>
  </si>
  <si>
    <t>ORD-0034</t>
  </si>
  <si>
    <t>Esme Allbrook</t>
  </si>
  <si>
    <t>Acne Toner</t>
  </si>
  <si>
    <t>ORD-0035</t>
  </si>
  <si>
    <t>Karen Gailor</t>
  </si>
  <si>
    <t>ORD-0036</t>
  </si>
  <si>
    <t>Alissa Gras</t>
  </si>
  <si>
    <t>ORD-0037</t>
  </si>
  <si>
    <t>Dougie Giovani</t>
  </si>
  <si>
    <t>ORD-0038</t>
  </si>
  <si>
    <t>Christabella Pine</t>
  </si>
  <si>
    <t>ORD-0039</t>
  </si>
  <si>
    <t>Doug Bower</t>
  </si>
  <si>
    <t>Gentle Cleanser</t>
  </si>
  <si>
    <t>ORD-0040</t>
  </si>
  <si>
    <t>Marcel Rounce</t>
  </si>
  <si>
    <t>ORD-0041</t>
  </si>
  <si>
    <t>Selby Stebbin</t>
  </si>
  <si>
    <t>Brightening Cleanser</t>
  </si>
  <si>
    <t>ORD-0042</t>
  </si>
  <si>
    <t>Gennie Smallcombe</t>
  </si>
  <si>
    <t>ORD-0043</t>
  </si>
  <si>
    <t>Rubie Dawber</t>
  </si>
  <si>
    <t>ORD-0044</t>
  </si>
  <si>
    <t>Celina Farnes</t>
  </si>
  <si>
    <t>ORD-0045</t>
  </si>
  <si>
    <t>Shani Gorry</t>
  </si>
  <si>
    <t>ORD-0046</t>
  </si>
  <si>
    <t>Shannon McDonnell</t>
  </si>
  <si>
    <t>ORD-0047</t>
  </si>
  <si>
    <t>Hollyanne Glanville</t>
  </si>
  <si>
    <t>ORD-0048</t>
  </si>
  <si>
    <t>Blake Itzkovici</t>
  </si>
  <si>
    <t>ORD-0049</t>
  </si>
  <si>
    <t>Melva Shedd</t>
  </si>
  <si>
    <t>ORD-0050</t>
  </si>
  <si>
    <t>Nyssa Steffans</t>
  </si>
  <si>
    <t>ORD-0051</t>
  </si>
  <si>
    <t>Evan Megahey</t>
  </si>
  <si>
    <t>ORD-0052</t>
  </si>
  <si>
    <t>Lorelle Bareford</t>
  </si>
  <si>
    <t>ORD-0053</t>
  </si>
  <si>
    <t>Delphine Rutherford</t>
  </si>
  <si>
    <t>ORD-0054</t>
  </si>
  <si>
    <t>Kasper Jarrel</t>
  </si>
  <si>
    <t>ORD-0055</t>
  </si>
  <si>
    <t>Clarie Kitchener</t>
  </si>
  <si>
    <t>ORD-0056</t>
  </si>
  <si>
    <t>Essy Cargill</t>
  </si>
  <si>
    <t>ORD-0057</t>
  </si>
  <si>
    <t>Heida Mockford</t>
  </si>
  <si>
    <t>ORD-0058</t>
  </si>
  <si>
    <t>Caesar Pirelli</t>
  </si>
  <si>
    <t>ORD-0059</t>
  </si>
  <si>
    <t>Jory Gerbi</t>
  </si>
  <si>
    <t>ORD-0060</t>
  </si>
  <si>
    <t>Teressa Denney</t>
  </si>
  <si>
    <t>ORD-0061</t>
  </si>
  <si>
    <t>Dulci Lambillion</t>
  </si>
  <si>
    <t>ORD-0062</t>
  </si>
  <si>
    <t>Magdalen Mouan</t>
  </si>
  <si>
    <t>ORD-0063</t>
  </si>
  <si>
    <t>Charis Peckett</t>
  </si>
  <si>
    <t>ORD-0064</t>
  </si>
  <si>
    <t>Darbie Gerb</t>
  </si>
  <si>
    <t>ORD-0065</t>
  </si>
  <si>
    <t>Karl Bjerkan</t>
  </si>
  <si>
    <t>ORD-0066</t>
  </si>
  <si>
    <t>Terrye Cullinane</t>
  </si>
  <si>
    <t>ORD-0067</t>
  </si>
  <si>
    <t>Jerrilee Corder</t>
  </si>
  <si>
    <t>ORD-0068</t>
  </si>
  <si>
    <t>Pauli Zannuto</t>
  </si>
  <si>
    <t>ORD-0069</t>
  </si>
  <si>
    <t>Rani Hayhurst</t>
  </si>
  <si>
    <t>ORD-0070</t>
  </si>
  <si>
    <t>Hobard Vedeneev</t>
  </si>
  <si>
    <t>ORD-0071</t>
  </si>
  <si>
    <t>Hulda Scarlon</t>
  </si>
  <si>
    <t>ORD-0072</t>
  </si>
  <si>
    <t>Klara MacCambridge</t>
  </si>
  <si>
    <t>ORD-0073</t>
  </si>
  <si>
    <t>Nico Philson</t>
  </si>
  <si>
    <t>ORD-0074</t>
  </si>
  <si>
    <t>Elfrida Rounsefull</t>
  </si>
  <si>
    <t>ORD-0075</t>
  </si>
  <si>
    <t>Early Goldspink</t>
  </si>
  <si>
    <t>ORD-0076</t>
  </si>
  <si>
    <t>Alexine Steggles</t>
  </si>
  <si>
    <t>ORD-0077</t>
  </si>
  <si>
    <t>Culver Worgan</t>
  </si>
  <si>
    <t>ORD-0078</t>
  </si>
  <si>
    <t>Derrek Crysell</t>
  </si>
  <si>
    <t>ORD-0079</t>
  </si>
  <si>
    <t>Archaimbaud Neachell</t>
  </si>
  <si>
    <t>ORD-0080</t>
  </si>
  <si>
    <t>Jaclyn Dring</t>
  </si>
  <si>
    <t>ORD-0081</t>
  </si>
  <si>
    <t>Christoforo Ellyatt</t>
  </si>
  <si>
    <t>ORD-0082</t>
  </si>
  <si>
    <t>Shermie Orrice</t>
  </si>
  <si>
    <t>ORD-0083</t>
  </si>
  <si>
    <t>Natassia Acome</t>
  </si>
  <si>
    <t>ORD-0084</t>
  </si>
  <si>
    <t>Murvyn Rawlingson</t>
  </si>
  <si>
    <t>ORD-0085</t>
  </si>
  <si>
    <t>Reagan Laste</t>
  </si>
  <si>
    <t>ORD-0086</t>
  </si>
  <si>
    <t>Waylan Saggs</t>
  </si>
  <si>
    <t>ORD-0087</t>
  </si>
  <si>
    <t>Dionne Gallen</t>
  </si>
  <si>
    <t>ORD-0088</t>
  </si>
  <si>
    <t>Ermanno Bolitho</t>
  </si>
  <si>
    <t>ORD-0089</t>
  </si>
  <si>
    <t>Quintin Quilty</t>
  </si>
  <si>
    <t>ORD-0090</t>
  </si>
  <si>
    <t>Faye Jervis</t>
  </si>
  <si>
    <t>ORD-0091</t>
  </si>
  <si>
    <t>Ossie Morriss</t>
  </si>
  <si>
    <t>ORD-0092</t>
  </si>
  <si>
    <t>Elfrida Urpeth</t>
  </si>
  <si>
    <t>ORD-0093</t>
  </si>
  <si>
    <t>Basil Seppey</t>
  </si>
  <si>
    <t>ORD-0094</t>
  </si>
  <si>
    <t>Cassondra Kimmerling</t>
  </si>
  <si>
    <t>ORD-0095</t>
  </si>
  <si>
    <t>Birk Stracey</t>
  </si>
  <si>
    <t>ORD-0096</t>
  </si>
  <si>
    <t>Chandler Headech</t>
  </si>
  <si>
    <t>ORD-0097</t>
  </si>
  <si>
    <t>Fonz Paute</t>
  </si>
  <si>
    <t>ORD-0098</t>
  </si>
  <si>
    <t>Etti Balham</t>
  </si>
  <si>
    <t>ORD-0099</t>
  </si>
  <si>
    <t>Kamila Arkow</t>
  </si>
  <si>
    <t>ORD-0100</t>
  </si>
  <si>
    <t>Boot Kingsmill</t>
  </si>
  <si>
    <t>ORD-0101</t>
  </si>
  <si>
    <t>Vincents Youdell</t>
  </si>
  <si>
    <t>ORD-0102</t>
  </si>
  <si>
    <t>Ingeborg Cultcheth</t>
  </si>
  <si>
    <t>ORD-0103</t>
  </si>
  <si>
    <t>Ariadne Bellanger</t>
  </si>
  <si>
    <t>ORD-0104</t>
  </si>
  <si>
    <t>Farlay Braune</t>
  </si>
  <si>
    <t>ORD-0105</t>
  </si>
  <si>
    <t>Aldon Corter</t>
  </si>
  <si>
    <t>ORD-0106</t>
  </si>
  <si>
    <t>Cordy Younger</t>
  </si>
  <si>
    <t>ORD-0107</t>
  </si>
  <si>
    <t>Emelda Davys</t>
  </si>
  <si>
    <t>ORD-0108</t>
  </si>
  <si>
    <t>Chastity Book</t>
  </si>
  <si>
    <t>ORD-0109</t>
  </si>
  <si>
    <t>Tobi Mc Caughen</t>
  </si>
  <si>
    <t>ORD-0110</t>
  </si>
  <si>
    <t>Caldwell Fitzhenry</t>
  </si>
  <si>
    <t>ORD-0111</t>
  </si>
  <si>
    <t>Haily Hathorn</t>
  </si>
  <si>
    <t>ORD-0112</t>
  </si>
  <si>
    <t>Gusti McKechnie</t>
  </si>
  <si>
    <t>ORD-0113</t>
  </si>
  <si>
    <t>Enrika Lydster</t>
  </si>
  <si>
    <t>ORD-0114</t>
  </si>
  <si>
    <t>Harwilll Steagall</t>
  </si>
  <si>
    <t>ORD-0115</t>
  </si>
  <si>
    <t>Errol Files</t>
  </si>
  <si>
    <t>ORD-0116</t>
  </si>
  <si>
    <t>Christos Sinnett</t>
  </si>
  <si>
    <t>ORD-0117</t>
  </si>
  <si>
    <t>Izaak Varnam</t>
  </si>
  <si>
    <t>ORD-0118</t>
  </si>
  <si>
    <t>Petronille Critchard</t>
  </si>
  <si>
    <t>ORD-0119</t>
  </si>
  <si>
    <t>Philly Studdal</t>
  </si>
  <si>
    <t>ORD-0120</t>
  </si>
  <si>
    <t>Daryle Rodders</t>
  </si>
  <si>
    <t>ORD-0121</t>
  </si>
  <si>
    <t>Buckie Beushaw</t>
  </si>
  <si>
    <t>ORD-0122</t>
  </si>
  <si>
    <t>Marylou Tollady</t>
  </si>
  <si>
    <t>ORD-0123</t>
  </si>
  <si>
    <t>Harper Sarge</t>
  </si>
  <si>
    <t>ORD-0124</t>
  </si>
  <si>
    <t>Ranee Ackerley</t>
  </si>
  <si>
    <t>ORD-0125</t>
  </si>
  <si>
    <t>Salmon Verrillo</t>
  </si>
  <si>
    <t>ORD-0126</t>
  </si>
  <si>
    <t>Linus Dunbar</t>
  </si>
  <si>
    <t>ORD-0127</t>
  </si>
  <si>
    <t>Veronika Peirson</t>
  </si>
  <si>
    <t>ORD-0128</t>
  </si>
  <si>
    <t>Stanleigh O'Dunneen</t>
  </si>
  <si>
    <t>ORD-0129</t>
  </si>
  <si>
    <t>Melli Medland</t>
  </si>
  <si>
    <t>ORD-0130</t>
  </si>
  <si>
    <t>Ekaterina Claydon</t>
  </si>
  <si>
    <t>ORD-0131</t>
  </si>
  <si>
    <t>Gail Dimitrijevic</t>
  </si>
  <si>
    <t>ORD-0132</t>
  </si>
  <si>
    <t>Kaja Chaffer</t>
  </si>
  <si>
    <t>ORD-0133</t>
  </si>
  <si>
    <t>Vivienne Dairton</t>
  </si>
  <si>
    <t>ORD-0134</t>
  </si>
  <si>
    <t>Debee Stapleford</t>
  </si>
  <si>
    <t>ORD-0135</t>
  </si>
  <si>
    <t>Leicester Swetland</t>
  </si>
  <si>
    <t>ORD-0136</t>
  </si>
  <si>
    <t>Annnora Margery</t>
  </si>
  <si>
    <t>ORD-0137</t>
  </si>
  <si>
    <t>Emmi Ennion</t>
  </si>
  <si>
    <t>ORD-0138</t>
  </si>
  <si>
    <t>Emelita Shower</t>
  </si>
  <si>
    <t>ORD-0139</t>
  </si>
  <si>
    <t>Atlante Messent</t>
  </si>
  <si>
    <t>ORD-0140</t>
  </si>
  <si>
    <t>Bobbee McFarland</t>
  </si>
  <si>
    <t>ORD-0141</t>
  </si>
  <si>
    <t>Chrotoem Tuckley</t>
  </si>
  <si>
    <t>ORD-0142</t>
  </si>
  <si>
    <t>Georgetta Carder</t>
  </si>
  <si>
    <t>ORD-0143</t>
  </si>
  <si>
    <t>Leodora MacCague</t>
  </si>
  <si>
    <t>ORD-0144</t>
  </si>
  <si>
    <t>Evvy Ixor</t>
  </si>
  <si>
    <t>ORD-0145</t>
  </si>
  <si>
    <t>Mable Mor</t>
  </si>
  <si>
    <t>ORD-0146</t>
  </si>
  <si>
    <t>Catherina Jirus</t>
  </si>
  <si>
    <t>ORD-0147</t>
  </si>
  <si>
    <t>Trumann McCrisken</t>
  </si>
  <si>
    <t>ORD-0148</t>
  </si>
  <si>
    <t>Darell Haily</t>
  </si>
  <si>
    <t>ORD-0149</t>
  </si>
  <si>
    <t>Kalila Wakefield</t>
  </si>
  <si>
    <t>ORD-0150</t>
  </si>
  <si>
    <t>Rodie Castiglio</t>
  </si>
  <si>
    <t>ORD-0151</t>
  </si>
  <si>
    <t>Timmie Bradburne</t>
  </si>
  <si>
    <t>ORD-0152</t>
  </si>
  <si>
    <t>Elden Pennrington</t>
  </si>
  <si>
    <t>ORD-0153</t>
  </si>
  <si>
    <t>Lillis Kirwood</t>
  </si>
  <si>
    <t>ORD-0154</t>
  </si>
  <si>
    <t>Morgen Kupper</t>
  </si>
  <si>
    <t>ORD-0155</t>
  </si>
  <si>
    <t>Adelice Wikey</t>
  </si>
  <si>
    <t>ORD-0156</t>
  </si>
  <si>
    <t>Benton Killoran</t>
  </si>
  <si>
    <t>ORD-0157</t>
  </si>
  <si>
    <t>Harriette Wethers</t>
  </si>
  <si>
    <t>ORD-0158</t>
  </si>
  <si>
    <t>Marten Hackey</t>
  </si>
  <si>
    <t>ORD-0159</t>
  </si>
  <si>
    <t>Farrah Barth</t>
  </si>
  <si>
    <t>ORD-0160</t>
  </si>
  <si>
    <t>Celeste Orme</t>
  </si>
  <si>
    <t>ORD-0161</t>
  </si>
  <si>
    <t>Pren Postins</t>
  </si>
  <si>
    <t>ORD-0162</t>
  </si>
  <si>
    <t>Janean Findon</t>
  </si>
  <si>
    <t>ORD-0163</t>
  </si>
  <si>
    <t>Baird Towlson</t>
  </si>
  <si>
    <t>ORD-0164</t>
  </si>
  <si>
    <t>Patrizia Moxted</t>
  </si>
  <si>
    <t>ORD-0165</t>
  </si>
  <si>
    <t>Eb Lanham</t>
  </si>
  <si>
    <t>ORD-0166</t>
  </si>
  <si>
    <t>Karen Gethin</t>
  </si>
  <si>
    <t>ORD-0167</t>
  </si>
  <si>
    <t>Izaak Threadgall</t>
  </si>
  <si>
    <t>ORD-0168</t>
  </si>
  <si>
    <t>Tonye Cavanaugh</t>
  </si>
  <si>
    <t>ORD-0169</t>
  </si>
  <si>
    <t>Nancey Hecks</t>
  </si>
  <si>
    <t>ORD-0170</t>
  </si>
  <si>
    <t>Hogan Gibbeson</t>
  </si>
  <si>
    <t>ORD-0171</t>
  </si>
  <si>
    <t>Nessa Merwe</t>
  </si>
  <si>
    <t>ORD-0172</t>
  </si>
  <si>
    <t>Teddy Filson</t>
  </si>
  <si>
    <t>ORD-0173</t>
  </si>
  <si>
    <t>Jae Acock</t>
  </si>
  <si>
    <t>ORD-0174</t>
  </si>
  <si>
    <t>Bastien Dearlove</t>
  </si>
  <si>
    <t>ORD-0175</t>
  </si>
  <si>
    <t>Shauna Beamont</t>
  </si>
  <si>
    <t>ORD-0176</t>
  </si>
  <si>
    <t>Herculie Ollett</t>
  </si>
  <si>
    <t>ORD-0177</t>
  </si>
  <si>
    <t>Archambault Emslie</t>
  </si>
  <si>
    <t>ORD-0178</t>
  </si>
  <si>
    <t>Elysha Stockoe</t>
  </si>
  <si>
    <t>ORD-0179</t>
  </si>
  <si>
    <t>Vanessa Roselli</t>
  </si>
  <si>
    <t>ORD-0180</t>
  </si>
  <si>
    <t>Zitella Jaime</t>
  </si>
  <si>
    <t>ORD-0181</t>
  </si>
  <si>
    <t>Mela Lamburn</t>
  </si>
  <si>
    <t>ORD-0182</t>
  </si>
  <si>
    <t>Greggory Luton</t>
  </si>
  <si>
    <t>ORD-0183</t>
  </si>
  <si>
    <t>Stephannie Braunroth</t>
  </si>
  <si>
    <t>ORD-0184</t>
  </si>
  <si>
    <t>Persis Gravett</t>
  </si>
  <si>
    <t>ORD-0185</t>
  </si>
  <si>
    <t>Cherish Cantopher</t>
  </si>
  <si>
    <t>ORD-0186</t>
  </si>
  <si>
    <t>Walsh Ryce</t>
  </si>
  <si>
    <t>ORD-0187</t>
  </si>
  <si>
    <t>Ches Collopy</t>
  </si>
  <si>
    <t>ORD-0188</t>
  </si>
  <si>
    <t>Claire Stormonth</t>
  </si>
  <si>
    <t>ORD-0189</t>
  </si>
  <si>
    <t>Hayyim Haquard</t>
  </si>
  <si>
    <t>ORD-0190</t>
  </si>
  <si>
    <t>Emilia Hasnip</t>
  </si>
  <si>
    <t>ORD-0191</t>
  </si>
  <si>
    <t>Wes Pochet</t>
  </si>
  <si>
    <t>ORD-0192</t>
  </si>
  <si>
    <t>Marietta Nichols</t>
  </si>
  <si>
    <t>ORD-0193</t>
  </si>
  <si>
    <t>Norman BURWIN</t>
  </si>
  <si>
    <t>ORD-0194</t>
  </si>
  <si>
    <t>Kelby Meers</t>
  </si>
  <si>
    <t>ORD-0195</t>
  </si>
  <si>
    <t>Huntley Dockrell</t>
  </si>
  <si>
    <t>ORD-0196</t>
  </si>
  <si>
    <t>Monte Janousek</t>
  </si>
  <si>
    <t>ORD-0197</t>
  </si>
  <si>
    <t>Car Beddows</t>
  </si>
  <si>
    <t>ORD-0198</t>
  </si>
  <si>
    <t>Iolanthe Costelow</t>
  </si>
  <si>
    <t>ORD-0199</t>
  </si>
  <si>
    <t>Alyce Mougin</t>
  </si>
  <si>
    <t>ORD-0200</t>
  </si>
  <si>
    <t>Tatiania Cathrall</t>
  </si>
  <si>
    <t>ORD-0201</t>
  </si>
  <si>
    <t>Emogene McWhin</t>
  </si>
  <si>
    <t>ORD-0202</t>
  </si>
  <si>
    <t>Doris Yakovliv</t>
  </si>
  <si>
    <t>ORD-0203</t>
  </si>
  <si>
    <t>Urbanus Peoples</t>
  </si>
  <si>
    <t>ORD-0204</t>
  </si>
  <si>
    <t>Lyndy Worswick</t>
  </si>
  <si>
    <t>ORD-0205</t>
  </si>
  <si>
    <t>Mala Brosel</t>
  </si>
  <si>
    <t>ORD-0206</t>
  </si>
  <si>
    <t>Godiva Fogt</t>
  </si>
  <si>
    <t>ORD-0207</t>
  </si>
  <si>
    <t>Aretha Bryett</t>
  </si>
  <si>
    <t>ORD-0208</t>
  </si>
  <si>
    <t>Melisent Renish</t>
  </si>
  <si>
    <t>ORD-0209</t>
  </si>
  <si>
    <t>Drusie Pears</t>
  </si>
  <si>
    <t>ORD-0210</t>
  </si>
  <si>
    <t>Laureen Jeger</t>
  </si>
  <si>
    <t>ORD-0211</t>
  </si>
  <si>
    <t>Robin Mansion</t>
  </si>
  <si>
    <t>ORD-0212</t>
  </si>
  <si>
    <t>Starla Valerio</t>
  </si>
  <si>
    <t>ORD-0213</t>
  </si>
  <si>
    <t>Ladonna Deveraux</t>
  </si>
  <si>
    <t>ORD-0214</t>
  </si>
  <si>
    <t>Kathryn Cassam</t>
  </si>
  <si>
    <t>ORD-0215</t>
  </si>
  <si>
    <t>Quinton Gretton</t>
  </si>
  <si>
    <t>ORD-0216</t>
  </si>
  <si>
    <t>Avrit Filipowicz</t>
  </si>
  <si>
    <t>ORD-0217</t>
  </si>
  <si>
    <t>Mira Kaufman</t>
  </si>
  <si>
    <t>ORD-0218</t>
  </si>
  <si>
    <t>Meryl Wheelton</t>
  </si>
  <si>
    <t>ORD-0219</t>
  </si>
  <si>
    <t>Winn Hollyer</t>
  </si>
  <si>
    <t>ORD-0220</t>
  </si>
  <si>
    <t>Charleen Sturley</t>
  </si>
  <si>
    <t>ORD-0221</t>
  </si>
  <si>
    <t>Marcelle Dabbs</t>
  </si>
  <si>
    <t>ORD-0222</t>
  </si>
  <si>
    <t>Camellia Boyd</t>
  </si>
  <si>
    <t>ORD-0223</t>
  </si>
  <si>
    <t>Bobinette Fittis</t>
  </si>
  <si>
    <t>ORD-0224</t>
  </si>
  <si>
    <t>Maurise Skevington</t>
  </si>
  <si>
    <t>ORD-0225</t>
  </si>
  <si>
    <t>Westbrooke Simms</t>
  </si>
  <si>
    <t>ORD-0226</t>
  </si>
  <si>
    <t>Brooke Mc Faul</t>
  </si>
  <si>
    <t>ORD-0227</t>
  </si>
  <si>
    <t>Heinrick Bernardino</t>
  </si>
  <si>
    <t>ORD-0228</t>
  </si>
  <si>
    <t>Petronille Schuelcke</t>
  </si>
  <si>
    <t>ORD-0229</t>
  </si>
  <si>
    <t>Kaleb Graith</t>
  </si>
  <si>
    <t>ORD-0230</t>
  </si>
  <si>
    <t>Suki Dadd</t>
  </si>
  <si>
    <t>ORD-0231</t>
  </si>
  <si>
    <t>Cairistiona Freed</t>
  </si>
  <si>
    <t>ORD-0232</t>
  </si>
  <si>
    <t>Danette Rosendahl</t>
  </si>
  <si>
    <t>ORD-0233</t>
  </si>
  <si>
    <t>Lonnie Dewhurst</t>
  </si>
  <si>
    <t>ORD-0234</t>
  </si>
  <si>
    <t>Sydney Mastrantone</t>
  </si>
  <si>
    <t>ORD-0235</t>
  </si>
  <si>
    <t>Michel Sillis</t>
  </si>
  <si>
    <t>ORD-0236</t>
  </si>
  <si>
    <t>Rodd Emmet</t>
  </si>
  <si>
    <t>ORD-0237</t>
  </si>
  <si>
    <t>Angela Mallender</t>
  </si>
  <si>
    <t>ORD-0238</t>
  </si>
  <si>
    <t>Davin Kedie</t>
  </si>
  <si>
    <t>ORD-0239</t>
  </si>
  <si>
    <t>Melba Brownstein</t>
  </si>
  <si>
    <t>ORD-0240</t>
  </si>
  <si>
    <t>Terri aManger</t>
  </si>
  <si>
    <t>ORD-0241</t>
  </si>
  <si>
    <t>Humberto McCambrois</t>
  </si>
  <si>
    <t>ORD-0242</t>
  </si>
  <si>
    <t>Suellen Siret</t>
  </si>
  <si>
    <t>ORD-0243</t>
  </si>
  <si>
    <t>Shelba McKirton</t>
  </si>
  <si>
    <t>ORD-0244</t>
  </si>
  <si>
    <t>Delcine Kareman</t>
  </si>
  <si>
    <t>ORD-0245</t>
  </si>
  <si>
    <t>Willow Pinare</t>
  </si>
  <si>
    <t>ORD-0246</t>
  </si>
  <si>
    <t>Gabriella Dancey</t>
  </si>
  <si>
    <t>ORD-0247</t>
  </si>
  <si>
    <t>Jarrad Gookey</t>
  </si>
  <si>
    <t>ORD-0248</t>
  </si>
  <si>
    <t>Serge McGahern</t>
  </si>
  <si>
    <t>ORD-0249</t>
  </si>
  <si>
    <t>Efrem Milkeham</t>
  </si>
  <si>
    <t>ORD-0250</t>
  </si>
  <si>
    <t>Raphaela Lissandrini</t>
  </si>
  <si>
    <t>ORD-0251</t>
  </si>
  <si>
    <t>Buddie Tift</t>
  </si>
  <si>
    <t>ORD-0252</t>
  </si>
  <si>
    <t>Martita Murr</t>
  </si>
  <si>
    <t>ORD-0253</t>
  </si>
  <si>
    <t>Rodge Galle</t>
  </si>
  <si>
    <t>ORD-0254</t>
  </si>
  <si>
    <t>Mike Northidge</t>
  </si>
  <si>
    <t>ORD-0255</t>
  </si>
  <si>
    <t>Briggs Gornal</t>
  </si>
  <si>
    <t>ORD-0256</t>
  </si>
  <si>
    <t>Celina Broader</t>
  </si>
  <si>
    <t>ORD-0257</t>
  </si>
  <si>
    <t>Gretna Sivills</t>
  </si>
  <si>
    <t>ORD-0258</t>
  </si>
  <si>
    <t>Ethel Hayfield</t>
  </si>
  <si>
    <t>ORD-0259</t>
  </si>
  <si>
    <t>Viki Skeete</t>
  </si>
  <si>
    <t>ORD-0260</t>
  </si>
  <si>
    <t>Tally Leigh</t>
  </si>
  <si>
    <t>ORD-0261</t>
  </si>
  <si>
    <t>Layne Hazleton</t>
  </si>
  <si>
    <t>ORD-0262</t>
  </si>
  <si>
    <t>Renard Farress</t>
  </si>
  <si>
    <t>ORD-0263</t>
  </si>
  <si>
    <t>Chandal Seabrocke</t>
  </si>
  <si>
    <t>ORD-0264</t>
  </si>
  <si>
    <t>Joelle Faier</t>
  </si>
  <si>
    <t>ORD-0265</t>
  </si>
  <si>
    <t>Raychel Jahnke</t>
  </si>
  <si>
    <t>ORD-0266</t>
  </si>
  <si>
    <t>Lori Arni</t>
  </si>
  <si>
    <t>ORD-0267</t>
  </si>
  <si>
    <t>Brier Trenholme</t>
  </si>
  <si>
    <t>ORD-0268</t>
  </si>
  <si>
    <t>Rochella Hanscomb</t>
  </si>
  <si>
    <t>ORD-0269</t>
  </si>
  <si>
    <t>Randi Davey</t>
  </si>
  <si>
    <t>ORD-0270</t>
  </si>
  <si>
    <t>Gerrie Coppeard</t>
  </si>
  <si>
    <t>ORD-0271</t>
  </si>
  <si>
    <t>Floyd Salters</t>
  </si>
  <si>
    <t>ORD-0272</t>
  </si>
  <si>
    <t>Tull Grisedale</t>
  </si>
  <si>
    <t>ORD-0273</t>
  </si>
  <si>
    <t>Lyssa Evered</t>
  </si>
  <si>
    <t>ORD-0274</t>
  </si>
  <si>
    <t>Carina Aseef</t>
  </si>
  <si>
    <t>ORD-0275</t>
  </si>
  <si>
    <t>Helaina Yeliashev</t>
  </si>
  <si>
    <t>ORD-0276</t>
  </si>
  <si>
    <t>Hollis Pock</t>
  </si>
  <si>
    <t>ORD-0277</t>
  </si>
  <si>
    <t>Melitta Hallatt</t>
  </si>
  <si>
    <t>ORD-0278</t>
  </si>
  <si>
    <t>Theodosia Skae</t>
  </si>
  <si>
    <t>ORD-0279</t>
  </si>
  <si>
    <t>Cynde Assante</t>
  </si>
  <si>
    <t>ORD-0280</t>
  </si>
  <si>
    <t>Jereme Brimelow</t>
  </si>
  <si>
    <t>ORD-0281</t>
  </si>
  <si>
    <t>Lyn Hobbema</t>
  </si>
  <si>
    <t>ORD-0282</t>
  </si>
  <si>
    <t>Tiffy Russo</t>
  </si>
  <si>
    <t>ORD-0283</t>
  </si>
  <si>
    <t>Wolf Klos</t>
  </si>
  <si>
    <t>ORD-0284</t>
  </si>
  <si>
    <t>Gard Duckinfield</t>
  </si>
  <si>
    <t>ORD-0285</t>
  </si>
  <si>
    <t>Gertrudis Emsley</t>
  </si>
  <si>
    <t>ORD-0286</t>
  </si>
  <si>
    <t>Xever Harniman</t>
  </si>
  <si>
    <t>ORD-0287</t>
  </si>
  <si>
    <t>Minnaminnie Coo</t>
  </si>
  <si>
    <t>ORD-0288</t>
  </si>
  <si>
    <t>Wallis Giannassi</t>
  </si>
  <si>
    <t>ORD-0289</t>
  </si>
  <si>
    <t>Nomi Whickman</t>
  </si>
  <si>
    <t>ORD-0290</t>
  </si>
  <si>
    <t>Adeline Kinnard</t>
  </si>
  <si>
    <t>ORD-0291</t>
  </si>
  <si>
    <t>Wolfgang Rentalll</t>
  </si>
  <si>
    <t>ORD-0292</t>
  </si>
  <si>
    <t>Johnnie Sercombe</t>
  </si>
  <si>
    <t>ORD-0293</t>
  </si>
  <si>
    <t>Hildy Tebbit</t>
  </si>
  <si>
    <t>ORD-0294</t>
  </si>
  <si>
    <t>Rhiamon Purdie</t>
  </si>
  <si>
    <t>ORD-0295</t>
  </si>
  <si>
    <t>Cate Swash</t>
  </si>
  <si>
    <t>ORD-0296</t>
  </si>
  <si>
    <t>Towney Markey</t>
  </si>
  <si>
    <t>ORD-0297</t>
  </si>
  <si>
    <t>Pincas Hinchon</t>
  </si>
  <si>
    <t>ORD-0298</t>
  </si>
  <si>
    <t>Zelig Laise</t>
  </si>
  <si>
    <t>ORD-0299</t>
  </si>
  <si>
    <t>Ethelin Gronou</t>
  </si>
  <si>
    <t>ORD-0300</t>
  </si>
  <si>
    <t>Harrie Ort</t>
  </si>
  <si>
    <t>ORD-0301</t>
  </si>
  <si>
    <t>Devi Mooney</t>
  </si>
  <si>
    <t>ORD-0302</t>
  </si>
  <si>
    <t>Killy Moakes</t>
  </si>
  <si>
    <t>ORD-0303</t>
  </si>
  <si>
    <t>Berrie Gilliam</t>
  </si>
  <si>
    <t>ORD-0304</t>
  </si>
  <si>
    <t>Blakelee Curme</t>
  </si>
  <si>
    <t>ORD-0305</t>
  </si>
  <si>
    <t>Dare Scarsbrick</t>
  </si>
  <si>
    <t>ORD-0306</t>
  </si>
  <si>
    <t>Dinnie Quested</t>
  </si>
  <si>
    <t>ORD-0307</t>
  </si>
  <si>
    <t>Drusy Dunsleve</t>
  </si>
  <si>
    <t>ORD-0308</t>
  </si>
  <si>
    <t>Kimberli Brockett</t>
  </si>
  <si>
    <t>ORD-0309</t>
  </si>
  <si>
    <t>Bendite Pietroni</t>
  </si>
  <si>
    <t>ORD-0310</t>
  </si>
  <si>
    <t>Hoyt Lonsdale</t>
  </si>
  <si>
    <t>ORD-0311</t>
  </si>
  <si>
    <t>Annie Doudny</t>
  </si>
  <si>
    <t>ORD-0312</t>
  </si>
  <si>
    <t>Ian Sondon</t>
  </si>
  <si>
    <t>ORD-0313</t>
  </si>
  <si>
    <t>Linette Marvelley</t>
  </si>
  <si>
    <t>ORD-0314</t>
  </si>
  <si>
    <t>Giffer Ikringill</t>
  </si>
  <si>
    <t>ORD-0315</t>
  </si>
  <si>
    <t>Lexis Labram</t>
  </si>
  <si>
    <t>ORD-0316</t>
  </si>
  <si>
    <t>Alexandra Ranson</t>
  </si>
  <si>
    <t>ORD-0317</t>
  </si>
  <si>
    <t>Diarmid Ferris</t>
  </si>
  <si>
    <t>ORD-0318</t>
  </si>
  <si>
    <t>Burch Hardwicke</t>
  </si>
  <si>
    <t>ORD-0319</t>
  </si>
  <si>
    <t>Alison Rheaume</t>
  </si>
  <si>
    <t>ORD-0320</t>
  </si>
  <si>
    <t>Hansiain Bakhrushkin</t>
  </si>
  <si>
    <t>ORD-0321</t>
  </si>
  <si>
    <t>Austina Milnes</t>
  </si>
  <si>
    <t>ORD-0322</t>
  </si>
  <si>
    <t>Brigg Outerbridge</t>
  </si>
  <si>
    <t>ORD-0323</t>
  </si>
  <si>
    <t>Mandel Shadrack</t>
  </si>
  <si>
    <t>ORD-0324</t>
  </si>
  <si>
    <t>Ferdinande Briscow</t>
  </si>
  <si>
    <t>ORD-0325</t>
  </si>
  <si>
    <t>Blinni Chattoe</t>
  </si>
  <si>
    <t>ORD-0326</t>
  </si>
  <si>
    <t>Cullan Janczyk</t>
  </si>
  <si>
    <t>ORD-0327</t>
  </si>
  <si>
    <t>Nicky Hefferon</t>
  </si>
  <si>
    <t>ORD-0328</t>
  </si>
  <si>
    <t>Lawton MacHostie</t>
  </si>
  <si>
    <t>ORD-0329</t>
  </si>
  <si>
    <t>Viole Rands</t>
  </si>
  <si>
    <t>ORD-0330</t>
  </si>
  <si>
    <t>Moria Puig</t>
  </si>
  <si>
    <t>ORD-0331</t>
  </si>
  <si>
    <t>Cherilyn Ida</t>
  </si>
  <si>
    <t>ORD-0332</t>
  </si>
  <si>
    <t>Franni Dowderswell</t>
  </si>
  <si>
    <t>ORD-0333</t>
  </si>
  <si>
    <t>Taylor Loosemore</t>
  </si>
  <si>
    <t>ORD-0334</t>
  </si>
  <si>
    <t>Kessiah Danilchev</t>
  </si>
  <si>
    <t>ORD-0335</t>
  </si>
  <si>
    <t>Jillie Gosforth</t>
  </si>
  <si>
    <t>ORD-0336</t>
  </si>
  <si>
    <t>Forrester Ferreres</t>
  </si>
  <si>
    <t>ORD-0337</t>
  </si>
  <si>
    <t>Hildagarde Camillo</t>
  </si>
  <si>
    <t>ORD-0338</t>
  </si>
  <si>
    <t>Yolanthe Darke</t>
  </si>
  <si>
    <t>ORD-0339</t>
  </si>
  <si>
    <t>Laney Stoving</t>
  </si>
  <si>
    <t>ORD-0340</t>
  </si>
  <si>
    <t>Elna Pleasants</t>
  </si>
  <si>
    <t>ORD-0341</t>
  </si>
  <si>
    <t>Lucas Cooney</t>
  </si>
  <si>
    <t>ORD-0342</t>
  </si>
  <si>
    <t>Roland Wheadon</t>
  </si>
  <si>
    <t>ORD-0343</t>
  </si>
  <si>
    <t>Gabie Farnish</t>
  </si>
  <si>
    <t>ORD-0344</t>
  </si>
  <si>
    <t>Floria Canape</t>
  </si>
  <si>
    <t>ORD-0345</t>
  </si>
  <si>
    <t>Rici Rengger</t>
  </si>
  <si>
    <t>ORD-0346</t>
  </si>
  <si>
    <t>Guntar Chesterton</t>
  </si>
  <si>
    <t>ORD-0347</t>
  </si>
  <si>
    <t>Ema Ditchburn</t>
  </si>
  <si>
    <t>ORD-0348</t>
  </si>
  <si>
    <t>Sapphira Baulcombe</t>
  </si>
  <si>
    <t>ORD-0349</t>
  </si>
  <si>
    <t>Sileas Pargetter</t>
  </si>
  <si>
    <t>ORD-0350</t>
  </si>
  <si>
    <t>Hercules Moggach</t>
  </si>
  <si>
    <t>ORD-0351</t>
  </si>
  <si>
    <t>Sergent Hollyman</t>
  </si>
  <si>
    <t>ORD-0352</t>
  </si>
  <si>
    <t>Shawn Nesbeth</t>
  </si>
  <si>
    <t>ORD-0353</t>
  </si>
  <si>
    <t>Kit Coggill</t>
  </si>
  <si>
    <t>ORD-0354</t>
  </si>
  <si>
    <t>Terencio Rayment</t>
  </si>
  <si>
    <t>ORD-0355</t>
  </si>
  <si>
    <t>Elset Maudlin</t>
  </si>
  <si>
    <t>ORD-0356</t>
  </si>
  <si>
    <t>Dorey Linham</t>
  </si>
  <si>
    <t>ORD-0357</t>
  </si>
  <si>
    <t>Queenie Jindacek</t>
  </si>
  <si>
    <t>ORD-0358</t>
  </si>
  <si>
    <t>Mersey Damato</t>
  </si>
  <si>
    <t>ORD-0359</t>
  </si>
  <si>
    <t>Thacher Lambie</t>
  </si>
  <si>
    <t>ORD-0360</t>
  </si>
  <si>
    <t>Gayla Plumtree</t>
  </si>
  <si>
    <t>ORD-0361</t>
  </si>
  <si>
    <t>Val Howchin</t>
  </si>
  <si>
    <t>ORD-0362</t>
  </si>
  <si>
    <t>Kasper Scourge</t>
  </si>
  <si>
    <t>ORD-0363</t>
  </si>
  <si>
    <t>Dorthy Stanyforth</t>
  </si>
  <si>
    <t>ORD-0364</t>
  </si>
  <si>
    <t>Carlie McConaghy</t>
  </si>
  <si>
    <t>ORD-0365</t>
  </si>
  <si>
    <t>Kelcey Spain-Gower</t>
  </si>
  <si>
    <t>ORD-0366</t>
  </si>
  <si>
    <t>Iorgos Cometto</t>
  </si>
  <si>
    <t>ORD-0367</t>
  </si>
  <si>
    <t>Rosemarie McFeate</t>
  </si>
  <si>
    <t>ORD-0368</t>
  </si>
  <si>
    <t>Quent Mariel</t>
  </si>
  <si>
    <t>ORD-0369</t>
  </si>
  <si>
    <t>Janet Jacobs</t>
  </si>
  <si>
    <t>ORD-0370</t>
  </si>
  <si>
    <t>Clair Heading</t>
  </si>
  <si>
    <t>ORD-0371</t>
  </si>
  <si>
    <t>Crissy Yes</t>
  </si>
  <si>
    <t>ORD-0372</t>
  </si>
  <si>
    <t>Alvy Driver</t>
  </si>
  <si>
    <t>ORD-0373</t>
  </si>
  <si>
    <t>Adriena Banke</t>
  </si>
  <si>
    <t>ORD-0374</t>
  </si>
  <si>
    <t>Tyrone Blaszczyk</t>
  </si>
  <si>
    <t>ORD-0375</t>
  </si>
  <si>
    <t>Owen Pindred</t>
  </si>
  <si>
    <t>ORD-0376</t>
  </si>
  <si>
    <t>Aloise Lattka</t>
  </si>
  <si>
    <t>ORD-0377</t>
  </si>
  <si>
    <t>Ulrich Vedenyapin</t>
  </si>
  <si>
    <t>ORD-0378</t>
  </si>
  <si>
    <t>Kaycee Cuss</t>
  </si>
  <si>
    <t>ORD-0379</t>
  </si>
  <si>
    <t>Delcina Abbes</t>
  </si>
  <si>
    <t>ORD-0380</t>
  </si>
  <si>
    <t>Debbi Yakolev</t>
  </si>
  <si>
    <t>ORD-0381</t>
  </si>
  <si>
    <t>Desirae Cardenosa</t>
  </si>
  <si>
    <t>ORD-0382</t>
  </si>
  <si>
    <t>Marti Anten</t>
  </si>
  <si>
    <t>ORD-0383</t>
  </si>
  <si>
    <t>Farly Sprankling</t>
  </si>
  <si>
    <t>ORD-0384</t>
  </si>
  <si>
    <t>Emlynn Mort</t>
  </si>
  <si>
    <t>ORD-0385</t>
  </si>
  <si>
    <t>Lorrayne Glenister</t>
  </si>
  <si>
    <t>ORD-0386</t>
  </si>
  <si>
    <t>Wit Ham</t>
  </si>
  <si>
    <t>ORD-0387</t>
  </si>
  <si>
    <t>Bobbie Huff</t>
  </si>
  <si>
    <t>ORD-0388</t>
  </si>
  <si>
    <t>Dita Felmingham</t>
  </si>
  <si>
    <t>ORD-0389</t>
  </si>
  <si>
    <t>Jennifer Balston</t>
  </si>
  <si>
    <t>ORD-0390</t>
  </si>
  <si>
    <t>Glad FitzGeorge</t>
  </si>
  <si>
    <t>ORD-0391</t>
  </si>
  <si>
    <t>Virgie Hovert</t>
  </si>
  <si>
    <t>ORD-0392</t>
  </si>
  <si>
    <t>Eugenie Giral</t>
  </si>
  <si>
    <t>ORD-0393</t>
  </si>
  <si>
    <t>Deerdre Kelbie</t>
  </si>
  <si>
    <t>ORD-0394</t>
  </si>
  <si>
    <t>Andre Brouwer</t>
  </si>
  <si>
    <t>ORD-0395</t>
  </si>
  <si>
    <t>Jimmie McNelis</t>
  </si>
  <si>
    <t>ORD-0396</t>
  </si>
  <si>
    <t>Spense Boyfield</t>
  </si>
  <si>
    <t>ORD-0397</t>
  </si>
  <si>
    <t>Edgard Lorne</t>
  </si>
  <si>
    <t>ORD-0398</t>
  </si>
  <si>
    <t>Elna Klimkovich</t>
  </si>
  <si>
    <t>ORD-0399</t>
  </si>
  <si>
    <t>Abbie Adamovich</t>
  </si>
  <si>
    <t>ORD-0400</t>
  </si>
  <si>
    <t>Daveta Wreakes</t>
  </si>
  <si>
    <t>ORD-0401</t>
  </si>
  <si>
    <t>Amber Whacket</t>
  </si>
  <si>
    <t>ORD-0402</t>
  </si>
  <si>
    <t>Alexei Karpushkin</t>
  </si>
  <si>
    <t>ORD-0403</t>
  </si>
  <si>
    <t>Cooper Leese</t>
  </si>
  <si>
    <t>ORD-0404</t>
  </si>
  <si>
    <t>Ilise Faich</t>
  </si>
  <si>
    <t>ORD-0405</t>
  </si>
  <si>
    <t>Lexis Spurier</t>
  </si>
  <si>
    <t>ORD-0406</t>
  </si>
  <si>
    <t>Beaufort McIlveen</t>
  </si>
  <si>
    <t>ORD-0407</t>
  </si>
  <si>
    <t>Lenette Timeby</t>
  </si>
  <si>
    <t>ORD-0408</t>
  </si>
  <si>
    <t>Norma Applewhite</t>
  </si>
  <si>
    <t>ORD-0409</t>
  </si>
  <si>
    <t>Sophronia Kyneton</t>
  </si>
  <si>
    <t>ORD-0410</t>
  </si>
  <si>
    <t>Lezlie Dust</t>
  </si>
  <si>
    <t>ORD-0411</t>
  </si>
  <si>
    <t>Leann Van Haeften</t>
  </si>
  <si>
    <t>ORD-0412</t>
  </si>
  <si>
    <t>Stanford Slark</t>
  </si>
  <si>
    <t>ORD-0413</t>
  </si>
  <si>
    <t>Anthea Brice</t>
  </si>
  <si>
    <t>ORD-0414</t>
  </si>
  <si>
    <t>Arleyne Ranstead</t>
  </si>
  <si>
    <t>ORD-0415</t>
  </si>
  <si>
    <t>Karoline Drayn</t>
  </si>
  <si>
    <t>ORD-0416</t>
  </si>
  <si>
    <t>Burch Gaffer</t>
  </si>
  <si>
    <t>ORD-0417</t>
  </si>
  <si>
    <t>Bertrando Wilber</t>
  </si>
  <si>
    <t>ORD-0418</t>
  </si>
  <si>
    <t>Nolie Halms</t>
  </si>
  <si>
    <t>ORD-0419</t>
  </si>
  <si>
    <t>Dannie Lowry</t>
  </si>
  <si>
    <t>ORD-0420</t>
  </si>
  <si>
    <t>Alastair Doyley</t>
  </si>
  <si>
    <t>ORD-0421</t>
  </si>
  <si>
    <t>Dall Shevlane</t>
  </si>
  <si>
    <t>ORD-0422</t>
  </si>
  <si>
    <t>Judy Kelshaw</t>
  </si>
  <si>
    <t>ORD-0423</t>
  </si>
  <si>
    <t>Marchelle Pringley</t>
  </si>
  <si>
    <t>ORD-0424</t>
  </si>
  <si>
    <t>Helaine Pillifant</t>
  </si>
  <si>
    <t>ORD-0425</t>
  </si>
  <si>
    <t>Mel McSharry</t>
  </si>
  <si>
    <t>ORD-0426</t>
  </si>
  <si>
    <t>Angelika Bilby</t>
  </si>
  <si>
    <t>ORD-0427</t>
  </si>
  <si>
    <t>Land Hancox</t>
  </si>
  <si>
    <t>ORD-0428</t>
  </si>
  <si>
    <t>Nickey Bonehill</t>
  </si>
  <si>
    <t>ORD-0429</t>
  </si>
  <si>
    <t>Susette Scaife</t>
  </si>
  <si>
    <t>ORD-0430</t>
  </si>
  <si>
    <t>Homere Busby</t>
  </si>
  <si>
    <t>ORD-0431</t>
  </si>
  <si>
    <t>Ciro Sweeney</t>
  </si>
  <si>
    <t>ORD-0432</t>
  </si>
  <si>
    <t>Jacklin Hoys</t>
  </si>
  <si>
    <t>ORD-0433</t>
  </si>
  <si>
    <t>Vernon Maberley</t>
  </si>
  <si>
    <t>ORD-0434</t>
  </si>
  <si>
    <t>Appolonia Proom</t>
  </si>
  <si>
    <t>ORD-0435</t>
  </si>
  <si>
    <t>Way Fawdery</t>
  </si>
  <si>
    <t>ORD-0436</t>
  </si>
  <si>
    <t>Regan Larkin</t>
  </si>
  <si>
    <t>ORD-0437</t>
  </si>
  <si>
    <t>Guy Guidi</t>
  </si>
  <si>
    <t>ORD-0438</t>
  </si>
  <si>
    <t>Lilias Hazeldine</t>
  </si>
  <si>
    <t>ORD-0439</t>
  </si>
  <si>
    <t>Jeramie Kolczynski</t>
  </si>
  <si>
    <t>ORD-0440</t>
  </si>
  <si>
    <t>Hannah Leeves</t>
  </si>
  <si>
    <t>ORD-0441</t>
  </si>
  <si>
    <t>Mathilda Lygoe</t>
  </si>
  <si>
    <t>ORD-0442</t>
  </si>
  <si>
    <t>Zebulen Triner</t>
  </si>
  <si>
    <t>ORD-0443</t>
  </si>
  <si>
    <t>Becca Hartill</t>
  </si>
  <si>
    <t>ORD-0444</t>
  </si>
  <si>
    <t>Dallas Benjafield</t>
  </si>
  <si>
    <t>ORD-0445</t>
  </si>
  <si>
    <t>Ariel Combe</t>
  </si>
  <si>
    <t>ORD-0446</t>
  </si>
  <si>
    <t>Christos Corrett</t>
  </si>
  <si>
    <t>ORD-0447</t>
  </si>
  <si>
    <t>Alysa McNutt</t>
  </si>
  <si>
    <t>ORD-0448</t>
  </si>
  <si>
    <t>Sander Hedan</t>
  </si>
  <si>
    <t>ORD-0449</t>
  </si>
  <si>
    <t>Herve Gibby</t>
  </si>
  <si>
    <t>ORD-0450</t>
  </si>
  <si>
    <t>Olvan Idenden</t>
  </si>
  <si>
    <t>ORD-0451</t>
  </si>
  <si>
    <t>Cyrus Cranch</t>
  </si>
  <si>
    <t>ORD-0452</t>
  </si>
  <si>
    <t>Waylan Squibb</t>
  </si>
  <si>
    <t>ORD-0453</t>
  </si>
  <si>
    <t>Analiese McKimmie</t>
  </si>
  <si>
    <t>ORD-0454</t>
  </si>
  <si>
    <t>Jelene Lloyd-Williams</t>
  </si>
  <si>
    <t>ORD-0455</t>
  </si>
  <si>
    <t>Shanta Dearl</t>
  </si>
  <si>
    <t>ORD-0456</t>
  </si>
  <si>
    <t>Linnell Trevascus</t>
  </si>
  <si>
    <t>ORD-0457</t>
  </si>
  <si>
    <t>Aggi Shepheard</t>
  </si>
  <si>
    <t>ORD-0458</t>
  </si>
  <si>
    <t>Cicely Allridge</t>
  </si>
  <si>
    <t>ORD-0459</t>
  </si>
  <si>
    <t>Kimmie Smyley</t>
  </si>
  <si>
    <t>ORD-0460</t>
  </si>
  <si>
    <t>Grayce Fairey</t>
  </si>
  <si>
    <t>ORD-0461</t>
  </si>
  <si>
    <t>Tedman Marages</t>
  </si>
  <si>
    <t>ORD-0462</t>
  </si>
  <si>
    <t>Marja Morena</t>
  </si>
  <si>
    <t>ORD-0463</t>
  </si>
  <si>
    <t>Catharina Pingstone</t>
  </si>
  <si>
    <t>ORD-0464</t>
  </si>
  <si>
    <t>Rea Chitham</t>
  </si>
  <si>
    <t>ORD-0465</t>
  </si>
  <si>
    <t>Sophia Waterstone</t>
  </si>
  <si>
    <t>ORD-0466</t>
  </si>
  <si>
    <t>Glynnis Apdell</t>
  </si>
  <si>
    <t>ORD-0467</t>
  </si>
  <si>
    <t>Selma Linton</t>
  </si>
  <si>
    <t>ORD-0468</t>
  </si>
  <si>
    <t>Rochell Flower</t>
  </si>
  <si>
    <t>ORD-0469</t>
  </si>
  <si>
    <t>Averill Brotherheed</t>
  </si>
  <si>
    <t>ORD-0470</t>
  </si>
  <si>
    <t>Meade Trusler</t>
  </si>
  <si>
    <t>ORD-0471</t>
  </si>
  <si>
    <t>Bobbie Grass</t>
  </si>
  <si>
    <t>ORD-0472</t>
  </si>
  <si>
    <t>Marlo Ferrarotti</t>
  </si>
  <si>
    <t>ORD-0473</t>
  </si>
  <si>
    <t>Abbot Blencoe</t>
  </si>
  <si>
    <t>ORD-0474</t>
  </si>
  <si>
    <t>Daren Gribben</t>
  </si>
  <si>
    <t>ORD-0475</t>
  </si>
  <si>
    <t>Meryl Rivenzon</t>
  </si>
  <si>
    <t>ORD-0476</t>
  </si>
  <si>
    <t>Olav Kefford</t>
  </si>
  <si>
    <t>ORD-0477</t>
  </si>
  <si>
    <t>Ricard Heigho</t>
  </si>
  <si>
    <t>ORD-0478</t>
  </si>
  <si>
    <t>Rollo Yokley</t>
  </si>
  <si>
    <t>ORD-0479</t>
  </si>
  <si>
    <t>Agata Bernardes</t>
  </si>
  <si>
    <t>ORD-0480</t>
  </si>
  <si>
    <t>Lewie Fardy</t>
  </si>
  <si>
    <t>ORD-0481</t>
  </si>
  <si>
    <t>Niki Hatherleigh</t>
  </si>
  <si>
    <t>ORD-0482</t>
  </si>
  <si>
    <t>Mercie Morecombe</t>
  </si>
  <si>
    <t>ORD-0483</t>
  </si>
  <si>
    <t>Kirby Preddy</t>
  </si>
  <si>
    <t>ORD-0484</t>
  </si>
  <si>
    <t>Prudi Walshaw</t>
  </si>
  <si>
    <t>ORD-0485</t>
  </si>
  <si>
    <t>Don Izakovitz</t>
  </si>
  <si>
    <t>ORD-0486</t>
  </si>
  <si>
    <t>Bibby Shropshire</t>
  </si>
  <si>
    <t>ORD-0487</t>
  </si>
  <si>
    <t>Stacey Whitlock</t>
  </si>
  <si>
    <t>ORD-0488</t>
  </si>
  <si>
    <t>Roxane Orrock</t>
  </si>
  <si>
    <t>ORD-0489</t>
  </si>
  <si>
    <t>Yorke Dudley</t>
  </si>
  <si>
    <t>ORD-0490</t>
  </si>
  <si>
    <t>Ximenes Iddens</t>
  </si>
  <si>
    <t>ORD-0491</t>
  </si>
  <si>
    <t>Perrine Godsafe</t>
  </si>
  <si>
    <t>ORD-0492</t>
  </si>
  <si>
    <t>Miles Hunnicot</t>
  </si>
  <si>
    <t>ORD-0493</t>
  </si>
  <si>
    <t>Lucita Liddiard</t>
  </si>
  <si>
    <t>ORD-0494</t>
  </si>
  <si>
    <t>Tammara Geelan</t>
  </si>
  <si>
    <t>ORD-0495</t>
  </si>
  <si>
    <t>Daryn Simchenko</t>
  </si>
  <si>
    <t>ORD-0496</t>
  </si>
  <si>
    <t>Lilith Sowerbutts</t>
  </si>
  <si>
    <t>ORD-0497</t>
  </si>
  <si>
    <t>Merola Pipes</t>
  </si>
  <si>
    <t>ORD-0498</t>
  </si>
  <si>
    <t>Willis Ollander</t>
  </si>
  <si>
    <t>ORD-0499</t>
  </si>
  <si>
    <t>Kikelia Ianitti</t>
  </si>
  <si>
    <t>ORD-0500</t>
  </si>
  <si>
    <t>Michal Raund</t>
  </si>
  <si>
    <t>ORD-0501</t>
  </si>
  <si>
    <t>Clementina MacDonell</t>
  </si>
  <si>
    <t>ORD-0502</t>
  </si>
  <si>
    <t>Dalia Chetter</t>
  </si>
  <si>
    <t>ORD-0503</t>
  </si>
  <si>
    <t>Layla Ellett</t>
  </si>
  <si>
    <t>ORD-0504</t>
  </si>
  <si>
    <t>Ludovico Dilley</t>
  </si>
  <si>
    <t>ORD-0505</t>
  </si>
  <si>
    <t>Ellette Souness</t>
  </si>
  <si>
    <t>ORD-0506</t>
  </si>
  <si>
    <t>Llewellyn Rudall</t>
  </si>
  <si>
    <t>ORD-0507</t>
  </si>
  <si>
    <t>Ashton Kiffe</t>
  </si>
  <si>
    <t>ORD-0508</t>
  </si>
  <si>
    <t>Brit Mineghelli</t>
  </si>
  <si>
    <t>ORD-0509</t>
  </si>
  <si>
    <t>Therese Barrand</t>
  </si>
  <si>
    <t>ORD-0510</t>
  </si>
  <si>
    <t>Read Ghelardi</t>
  </si>
  <si>
    <t>ORD-0511</t>
  </si>
  <si>
    <t>Betty Pickvance</t>
  </si>
  <si>
    <t>ORD-0512</t>
  </si>
  <si>
    <t>Brittan Apdell</t>
  </si>
  <si>
    <t>ORD-0513</t>
  </si>
  <si>
    <t>Nike Grishinov</t>
  </si>
  <si>
    <t>ORD-0514</t>
  </si>
  <si>
    <t>Onida Silbermann</t>
  </si>
  <si>
    <t>ORD-0515</t>
  </si>
  <si>
    <t>Averell Jinkin</t>
  </si>
  <si>
    <t>ORD-0516</t>
  </si>
  <si>
    <t>Barrie Exley</t>
  </si>
  <si>
    <t>ORD-0517</t>
  </si>
  <si>
    <t>Christiana Fulford</t>
  </si>
  <si>
    <t>ORD-0518</t>
  </si>
  <si>
    <t>Dionisio Hamal</t>
  </si>
  <si>
    <t>ORD-0519</t>
  </si>
  <si>
    <t>Pascal Prodrick</t>
  </si>
  <si>
    <t>ORD-0520</t>
  </si>
  <si>
    <t>Ivor O'Brallaghan</t>
  </si>
  <si>
    <t>ORD-0521</t>
  </si>
  <si>
    <t>Tammie Mapledoore</t>
  </si>
  <si>
    <t>ORD-0522</t>
  </si>
  <si>
    <t>Dudley FitzAlan</t>
  </si>
  <si>
    <t>ORD-0523</t>
  </si>
  <si>
    <t>Rodina Stebbings</t>
  </si>
  <si>
    <t>ORD-0524</t>
  </si>
  <si>
    <t>Jazmin Mattholie</t>
  </si>
  <si>
    <t>ORD-0525</t>
  </si>
  <si>
    <t>Flss Stanway</t>
  </si>
  <si>
    <t>ORD-0526</t>
  </si>
  <si>
    <t>Nobie Tolchard</t>
  </si>
  <si>
    <t>ORD-0527</t>
  </si>
  <si>
    <t>Kerk Osgarby</t>
  </si>
  <si>
    <t>ORD-0528</t>
  </si>
  <si>
    <t>Guy Kenefick</t>
  </si>
  <si>
    <t>ORD-0529</t>
  </si>
  <si>
    <t>Worden Andersen</t>
  </si>
  <si>
    <t>ORD-0530</t>
  </si>
  <si>
    <t>Keir Goodday</t>
  </si>
  <si>
    <t>ORD-0531</t>
  </si>
  <si>
    <t>Annabal Wasbrough</t>
  </si>
  <si>
    <t>ORD-0532</t>
  </si>
  <si>
    <t>Emylee Dawidowitsch</t>
  </si>
  <si>
    <t>ORD-0533</t>
  </si>
  <si>
    <t>Dougy Alexandersen</t>
  </si>
  <si>
    <t>ORD-0534</t>
  </si>
  <si>
    <t>Joanna Dudson</t>
  </si>
  <si>
    <t>ORD-0535</t>
  </si>
  <si>
    <t>Kayle Etty</t>
  </si>
  <si>
    <t>ORD-0536</t>
  </si>
  <si>
    <t>Jilly Paternoster</t>
  </si>
  <si>
    <t>ORD-0537</t>
  </si>
  <si>
    <t>Mariana Vanderson</t>
  </si>
  <si>
    <t>ORD-0538</t>
  </si>
  <si>
    <t>Basia Allom</t>
  </si>
  <si>
    <t>ORD-0539</t>
  </si>
  <si>
    <t>Antonie Fearnehough</t>
  </si>
  <si>
    <t>ORD-0540</t>
  </si>
  <si>
    <t>Laney Gregolin</t>
  </si>
  <si>
    <t>ORD-0541</t>
  </si>
  <si>
    <t>Katey Wickersley</t>
  </si>
  <si>
    <t>ORD-0542</t>
  </si>
  <si>
    <t>Coleen Ludewig</t>
  </si>
  <si>
    <t>ORD-0543</t>
  </si>
  <si>
    <t>Karisa Holleworth</t>
  </si>
  <si>
    <t>ORD-0544</t>
  </si>
  <si>
    <t>Antonetta Dable</t>
  </si>
  <si>
    <t>ORD-0545</t>
  </si>
  <si>
    <t>Alex Darragon</t>
  </si>
  <si>
    <t>ORD-0546</t>
  </si>
  <si>
    <t>Regan McKane</t>
  </si>
  <si>
    <t>ORD-0547</t>
  </si>
  <si>
    <t>Corrine Wooldridge</t>
  </si>
  <si>
    <t>ORD-0548</t>
  </si>
  <si>
    <t>Minni Cotterell</t>
  </si>
  <si>
    <t>ORD-0549</t>
  </si>
  <si>
    <t>Jacob Sharphouse</t>
  </si>
  <si>
    <t>ORD-0550</t>
  </si>
  <si>
    <t>Remington Escudier</t>
  </si>
  <si>
    <t>ORD-0551</t>
  </si>
  <si>
    <t>Kathrine Fanner</t>
  </si>
  <si>
    <t>ORD-0552</t>
  </si>
  <si>
    <t>Carena Skitral</t>
  </si>
  <si>
    <t>ORD-0553</t>
  </si>
  <si>
    <t>Ailyn Willows</t>
  </si>
  <si>
    <t>ORD-0554</t>
  </si>
  <si>
    <t>Ange Semerad</t>
  </si>
  <si>
    <t>ORD-0555</t>
  </si>
  <si>
    <t>Walton Malkinson</t>
  </si>
  <si>
    <t>ORD-0556</t>
  </si>
  <si>
    <t>Cassandra Nickolls</t>
  </si>
  <si>
    <t>ORD-0557</t>
  </si>
  <si>
    <t>Claudell Slowly</t>
  </si>
  <si>
    <t>ORD-0558</t>
  </si>
  <si>
    <t>Sashenka Alvarez</t>
  </si>
  <si>
    <t>ORD-0559</t>
  </si>
  <si>
    <t>Dukie Adamkiewicz</t>
  </si>
  <si>
    <t>ORD-0560</t>
  </si>
  <si>
    <t>Rance Playfair</t>
  </si>
  <si>
    <t>ORD-0561</t>
  </si>
  <si>
    <t>Idette Newborn</t>
  </si>
  <si>
    <t>ORD-0562</t>
  </si>
  <si>
    <t>Brandtr Stiant</t>
  </si>
  <si>
    <t>ORD-0563</t>
  </si>
  <si>
    <t>Madalena Arghent</t>
  </si>
  <si>
    <t>ORD-0564</t>
  </si>
  <si>
    <t>Orelia Ickovici</t>
  </si>
  <si>
    <t>ORD-0565</t>
  </si>
  <si>
    <t>Maribel Trevallion</t>
  </si>
  <si>
    <t>ORD-0566</t>
  </si>
  <si>
    <t>Kerk Mitcheson</t>
  </si>
  <si>
    <t>ORD-0567</t>
  </si>
  <si>
    <t>Dot Jowsey</t>
  </si>
  <si>
    <t>ORD-0568</t>
  </si>
  <si>
    <t>Marcos Birtles</t>
  </si>
  <si>
    <t>ORD-0569</t>
  </si>
  <si>
    <t>Emelen Eddolls</t>
  </si>
  <si>
    <t>ORD-0570</t>
  </si>
  <si>
    <t>Sully Whiteson</t>
  </si>
  <si>
    <t>ORD-0571</t>
  </si>
  <si>
    <t>Kristofer Galvin</t>
  </si>
  <si>
    <t>ORD-0572</t>
  </si>
  <si>
    <t>Sherman Stennett</t>
  </si>
  <si>
    <t>ORD-0573</t>
  </si>
  <si>
    <t>Salomone Purviss</t>
  </si>
  <si>
    <t>ORD-0574</t>
  </si>
  <si>
    <t>Allin Barlthrop</t>
  </si>
  <si>
    <t>ORD-0575</t>
  </si>
  <si>
    <t>Allyce Carlisso</t>
  </si>
  <si>
    <t>ORD-0576</t>
  </si>
  <si>
    <t>Rodolfo Bodill</t>
  </si>
  <si>
    <t>ORD-0577</t>
  </si>
  <si>
    <t>Rowland Mainstone</t>
  </si>
  <si>
    <t>ORD-0578</t>
  </si>
  <si>
    <t>Alanson Linggard</t>
  </si>
  <si>
    <t>ORD-0579</t>
  </si>
  <si>
    <t>Letizia Bernardoux</t>
  </si>
  <si>
    <t>ORD-0580</t>
  </si>
  <si>
    <t>Elroy Prendergrast</t>
  </si>
  <si>
    <t>ORD-0581</t>
  </si>
  <si>
    <t>Ethelbert Hasloch</t>
  </si>
  <si>
    <t>ORD-0582</t>
  </si>
  <si>
    <t>Rafi Leaman</t>
  </si>
  <si>
    <t>ORD-0583</t>
  </si>
  <si>
    <t>Shea Rowett</t>
  </si>
  <si>
    <t>ORD-0584</t>
  </si>
  <si>
    <t>Tyne Stollsteimer</t>
  </si>
  <si>
    <t>ORD-0585</t>
  </si>
  <si>
    <t>Amerigo Dmitr</t>
  </si>
  <si>
    <t>ORD-0586</t>
  </si>
  <si>
    <t>Lowe Pre</t>
  </si>
  <si>
    <t>ORD-0587</t>
  </si>
  <si>
    <t>Mitch Brantl</t>
  </si>
  <si>
    <t>ORD-0588</t>
  </si>
  <si>
    <t>Katleen Cicchelli</t>
  </si>
  <si>
    <t>ORD-0589</t>
  </si>
  <si>
    <t>Roanna covino</t>
  </si>
  <si>
    <t>ORD-0590</t>
  </si>
  <si>
    <t>Chastity Stanger</t>
  </si>
  <si>
    <t>ORD-0591</t>
  </si>
  <si>
    <t>Cesare Glassard</t>
  </si>
  <si>
    <t>ORD-0592</t>
  </si>
  <si>
    <t>Bernarr Waddingham</t>
  </si>
  <si>
    <t>ORD-0593</t>
  </si>
  <si>
    <t>Marillin Jakoubek</t>
  </si>
  <si>
    <t>ORD-0594</t>
  </si>
  <si>
    <t>Giulietta Anwell</t>
  </si>
  <si>
    <t>ORD-0595</t>
  </si>
  <si>
    <t>Freddy Jenoure</t>
  </si>
  <si>
    <t>ORD-0596</t>
  </si>
  <si>
    <t>Nessy Bilton</t>
  </si>
  <si>
    <t>ORD-0597</t>
  </si>
  <si>
    <t>Kristoforo Rolley</t>
  </si>
  <si>
    <t>ORD-0598</t>
  </si>
  <si>
    <t>Cristen Noye</t>
  </si>
  <si>
    <t>ORD-0599</t>
  </si>
  <si>
    <t>Carola Isack</t>
  </si>
  <si>
    <t>ORD-0600</t>
  </si>
  <si>
    <t>Reine Gander</t>
  </si>
  <si>
    <t>ORD-0601</t>
  </si>
  <si>
    <t>Madel Forestall</t>
  </si>
  <si>
    <t>ORD-0602</t>
  </si>
  <si>
    <t>Silvester Treske</t>
  </si>
  <si>
    <t>ORD-0603</t>
  </si>
  <si>
    <t>Ashil Durrington</t>
  </si>
  <si>
    <t>ORD-0604</t>
  </si>
  <si>
    <t>Violet Hansod</t>
  </si>
  <si>
    <t>ORD-0605</t>
  </si>
  <si>
    <t>Muire Rosentholer</t>
  </si>
  <si>
    <t>ORD-0606</t>
  </si>
  <si>
    <t>Katharine Lacrouts</t>
  </si>
  <si>
    <t>ORD-0607</t>
  </si>
  <si>
    <t>Idette Hargraves</t>
  </si>
  <si>
    <t>ORD-0608</t>
  </si>
  <si>
    <t>Zaria Clifft</t>
  </si>
  <si>
    <t>ORD-0609</t>
  </si>
  <si>
    <t>Inga Lackner</t>
  </si>
  <si>
    <t>ORD-0610</t>
  </si>
  <si>
    <t>Clo Schlag</t>
  </si>
  <si>
    <t>ORD-0611</t>
  </si>
  <si>
    <t>Joey Timmes</t>
  </si>
  <si>
    <t>ORD-0612</t>
  </si>
  <si>
    <t>Hoebart Beszant</t>
  </si>
  <si>
    <t>ORD-0613</t>
  </si>
  <si>
    <t>Tabb De Leek</t>
  </si>
  <si>
    <t>ORD-0614</t>
  </si>
  <si>
    <t>Florrie Dran</t>
  </si>
  <si>
    <t>ORD-0615</t>
  </si>
  <si>
    <t>Leeland Fiddian</t>
  </si>
  <si>
    <t>ORD-0616</t>
  </si>
  <si>
    <t>Rikki McGuiney</t>
  </si>
  <si>
    <t>ORD-0617</t>
  </si>
  <si>
    <t>Linn Reddyhoff</t>
  </si>
  <si>
    <t>ORD-0618</t>
  </si>
  <si>
    <t>Nils Overbury</t>
  </si>
  <si>
    <t>ORD-0619</t>
  </si>
  <si>
    <t>Donella Albone</t>
  </si>
  <si>
    <t>ORD-0620</t>
  </si>
  <si>
    <t>Geri Tidmas</t>
  </si>
  <si>
    <t>ORD-0621</t>
  </si>
  <si>
    <t>Hermione Alcott</t>
  </si>
  <si>
    <t>ORD-0622</t>
  </si>
  <si>
    <t>Weston Gainsburgh</t>
  </si>
  <si>
    <t>ORD-0623</t>
  </si>
  <si>
    <t>Standford Kytley</t>
  </si>
  <si>
    <t>ORD-0624</t>
  </si>
  <si>
    <t>Mellicent Pettus</t>
  </si>
  <si>
    <t>ORD-0625</t>
  </si>
  <si>
    <t>Lyle Grzelczyk</t>
  </si>
  <si>
    <t>ORD-0626</t>
  </si>
  <si>
    <t>Cindelyn Ziebart</t>
  </si>
  <si>
    <t>ORD-0627</t>
  </si>
  <si>
    <t>Pammie Jakobsson</t>
  </si>
  <si>
    <t>ORD-0628</t>
  </si>
  <si>
    <t>Philbert Darbishire</t>
  </si>
  <si>
    <t>ORD-0629</t>
  </si>
  <si>
    <t>Finlay Eaglen</t>
  </si>
  <si>
    <t>ORD-0630</t>
  </si>
  <si>
    <t>Dolli Astill</t>
  </si>
  <si>
    <t>ORD-0631</t>
  </si>
  <si>
    <t>Hank Standrin</t>
  </si>
  <si>
    <t>ORD-0632</t>
  </si>
  <si>
    <t>Mimi Ozelton</t>
  </si>
  <si>
    <t>ORD-0633</t>
  </si>
  <si>
    <t>Clovis McCarlie</t>
  </si>
  <si>
    <t>ORD-0634</t>
  </si>
  <si>
    <t>Anastassia Pond</t>
  </si>
  <si>
    <t>ORD-0635</t>
  </si>
  <si>
    <t>Ezequiel Gundrey</t>
  </si>
  <si>
    <t>ORD-0636</t>
  </si>
  <si>
    <t>Sterne Spedding</t>
  </si>
  <si>
    <t>ORD-0637</t>
  </si>
  <si>
    <t>Conrado Silby</t>
  </si>
  <si>
    <t>ORD-0638</t>
  </si>
  <si>
    <t>Vic De Ferraris</t>
  </si>
  <si>
    <t>ORD-0639</t>
  </si>
  <si>
    <t>Arlie Bassham</t>
  </si>
  <si>
    <t>ORD-0640</t>
  </si>
  <si>
    <t>Saraann Bilbie</t>
  </si>
  <si>
    <t>ORD-0641</t>
  </si>
  <si>
    <t>Falkner Frearson</t>
  </si>
  <si>
    <t>ORD-0642</t>
  </si>
  <si>
    <t>Meaghan Downey</t>
  </si>
  <si>
    <t>ORD-0643</t>
  </si>
  <si>
    <t>Donni Pearmain</t>
  </si>
  <si>
    <t>ORD-0644</t>
  </si>
  <si>
    <t>Bobina Laxon</t>
  </si>
  <si>
    <t>ORD-0645</t>
  </si>
  <si>
    <t>Dorotea Howley</t>
  </si>
  <si>
    <t>ORD-0646</t>
  </si>
  <si>
    <t>Ester Petkov</t>
  </si>
  <si>
    <t>ORD-0647</t>
  </si>
  <si>
    <t>Gratiana McDonell</t>
  </si>
  <si>
    <t>ORD-0648</t>
  </si>
  <si>
    <t>Peg Cossins</t>
  </si>
  <si>
    <t>ORD-0649</t>
  </si>
  <si>
    <t>Bunny Lidbetter</t>
  </si>
  <si>
    <t>ORD-0650</t>
  </si>
  <si>
    <t>Kory Wadmore</t>
  </si>
  <si>
    <t>ORD-0651</t>
  </si>
  <si>
    <t>Opal Oliphard</t>
  </si>
  <si>
    <t>ORD-0652</t>
  </si>
  <si>
    <t>Dulciana Gilbertson</t>
  </si>
  <si>
    <t>ORD-0653</t>
  </si>
  <si>
    <t>Lula Brankley</t>
  </si>
  <si>
    <t>ORD-0654</t>
  </si>
  <si>
    <t>Karalynn Coverley</t>
  </si>
  <si>
    <t>ORD-0655</t>
  </si>
  <si>
    <t>Dagny Girkin</t>
  </si>
  <si>
    <t>ORD-0656</t>
  </si>
  <si>
    <t>Debra Wasson</t>
  </si>
  <si>
    <t>ORD-0657</t>
  </si>
  <si>
    <t>Lewes Vittle</t>
  </si>
  <si>
    <t>ORD-0658</t>
  </si>
  <si>
    <t>Gilda Stonelake</t>
  </si>
  <si>
    <t>ORD-0659</t>
  </si>
  <si>
    <t>Jarrod Ferronier</t>
  </si>
  <si>
    <t>ORD-0660</t>
  </si>
  <si>
    <t>Hasheem Waghorn</t>
  </si>
  <si>
    <t>ORD-0661</t>
  </si>
  <si>
    <t>Salome Snyder</t>
  </si>
  <si>
    <t>ORD-0662</t>
  </si>
  <si>
    <t>Nikkie Freak</t>
  </si>
  <si>
    <t>ORD-0663</t>
  </si>
  <si>
    <t>Caprice Carhart</t>
  </si>
  <si>
    <t>ORD-0664</t>
  </si>
  <si>
    <t>Sigfrid Matushenko</t>
  </si>
  <si>
    <t>ORD-0665</t>
  </si>
  <si>
    <t>Demetrius Cassius</t>
  </si>
  <si>
    <t>ORD-0666</t>
  </si>
  <si>
    <t>Gerhardine Micheu</t>
  </si>
  <si>
    <t>ORD-0667</t>
  </si>
  <si>
    <t>Livvyy Stollwerk</t>
  </si>
  <si>
    <t>ORD-0668</t>
  </si>
  <si>
    <t>Ara MacMurray</t>
  </si>
  <si>
    <t>ORD-0669</t>
  </si>
  <si>
    <t>Arline Mollin</t>
  </si>
  <si>
    <t>ORD-0670</t>
  </si>
  <si>
    <t>Neal Ferrero</t>
  </si>
  <si>
    <t>ORD-0671</t>
  </si>
  <si>
    <t>Violante Chantrell</t>
  </si>
  <si>
    <t>ORD-0672</t>
  </si>
  <si>
    <t>Grenville Teek</t>
  </si>
  <si>
    <t>ORD-0673</t>
  </si>
  <si>
    <t>Allyn Robatham</t>
  </si>
  <si>
    <t>ORD-0674</t>
  </si>
  <si>
    <t>Thayne Sparke</t>
  </si>
  <si>
    <t>ORD-0675</t>
  </si>
  <si>
    <t>Dawna Mairs</t>
  </si>
  <si>
    <t>ORD-0676</t>
  </si>
  <si>
    <t>Florry Haddleston</t>
  </si>
  <si>
    <t>ORD-0677</t>
  </si>
  <si>
    <t>Winnifred Hardin</t>
  </si>
  <si>
    <t>ORD-0678</t>
  </si>
  <si>
    <t>Rowen Towns</t>
  </si>
  <si>
    <t>ORD-0679</t>
  </si>
  <si>
    <t>Samuel Reford</t>
  </si>
  <si>
    <t>ORD-0680</t>
  </si>
  <si>
    <t>Ricard Jimeno</t>
  </si>
  <si>
    <t>ORD-0681</t>
  </si>
  <si>
    <t>Rriocard Wardall</t>
  </si>
  <si>
    <t>ORD-0682</t>
  </si>
  <si>
    <t>Sibby Sorey</t>
  </si>
  <si>
    <t>ORD-0683</t>
  </si>
  <si>
    <t>Zora Dallan</t>
  </si>
  <si>
    <t>ORD-0684</t>
  </si>
  <si>
    <t>Linzy Pariss</t>
  </si>
  <si>
    <t>ORD-0685</t>
  </si>
  <si>
    <t>Janifer Selby</t>
  </si>
  <si>
    <t>ORD-0686</t>
  </si>
  <si>
    <t>Baillie Chill</t>
  </si>
  <si>
    <t>ORD-0687</t>
  </si>
  <si>
    <t>Melisa Doodson</t>
  </si>
  <si>
    <t>ORD-0688</t>
  </si>
  <si>
    <t>Tobit Vannucci</t>
  </si>
  <si>
    <t>ORD-0689</t>
  </si>
  <si>
    <t>Angie Aubrun</t>
  </si>
  <si>
    <t>ORD-0690</t>
  </si>
  <si>
    <t>Paula Annesley</t>
  </si>
  <si>
    <t>ORD-0691</t>
  </si>
  <si>
    <t>Corella Yukhnov</t>
  </si>
  <si>
    <t>ORD-0692</t>
  </si>
  <si>
    <t>Avery Swinyard</t>
  </si>
  <si>
    <t>ORD-0693</t>
  </si>
  <si>
    <t>Ewell Offin</t>
  </si>
  <si>
    <t>ORD-0694</t>
  </si>
  <si>
    <t>Leoine Woodhouse</t>
  </si>
  <si>
    <t>ORD-0695</t>
  </si>
  <si>
    <t>Heida Cluderay</t>
  </si>
  <si>
    <t>ORD-0696</t>
  </si>
  <si>
    <t>Mady Muckle</t>
  </si>
  <si>
    <t>ORD-0697</t>
  </si>
  <si>
    <t>Vaughn McGairl</t>
  </si>
  <si>
    <t>ORD-0698</t>
  </si>
  <si>
    <t>Wendell Gritskov</t>
  </si>
  <si>
    <t>ORD-0699</t>
  </si>
  <si>
    <t>Finn Zavattari</t>
  </si>
  <si>
    <t>ORD-0700</t>
  </si>
  <si>
    <t>Dale Myers</t>
  </si>
  <si>
    <t>ORD-0701</t>
  </si>
  <si>
    <t>Joye Kingstne</t>
  </si>
  <si>
    <t>ORD-0702</t>
  </si>
  <si>
    <t>Karalee O'Connolly</t>
  </si>
  <si>
    <t>ORD-0703</t>
  </si>
  <si>
    <t>Ursa Scotchbourouge</t>
  </si>
  <si>
    <t>ORD-0704</t>
  </si>
  <si>
    <t>Jereme Filkov</t>
  </si>
  <si>
    <t>ORD-0705</t>
  </si>
  <si>
    <t>Brendon Cristoforo</t>
  </si>
  <si>
    <t>ORD-0706</t>
  </si>
  <si>
    <t>Julianna Whellans</t>
  </si>
  <si>
    <t>ORD-0707</t>
  </si>
  <si>
    <t>Parker Deeley</t>
  </si>
  <si>
    <t>ORD-0708</t>
  </si>
  <si>
    <t>Abdel Stainton</t>
  </si>
  <si>
    <t>ORD-0709</t>
  </si>
  <si>
    <t>Amelita Abdon</t>
  </si>
  <si>
    <t>ORD-0710</t>
  </si>
  <si>
    <t>Johannes Beamiss</t>
  </si>
  <si>
    <t>ORD-0711</t>
  </si>
  <si>
    <t>Arne Abbey</t>
  </si>
  <si>
    <t>ORD-0712</t>
  </si>
  <si>
    <t>Waylen Renvoys</t>
  </si>
  <si>
    <t>ORD-0713</t>
  </si>
  <si>
    <t>Doria Scates</t>
  </si>
  <si>
    <t>ORD-0714</t>
  </si>
  <si>
    <t>Francis Ozelton</t>
  </si>
  <si>
    <t>ORD-0715</t>
  </si>
  <si>
    <t>Kaleb Yallowley</t>
  </si>
  <si>
    <t>ORD-0716</t>
  </si>
  <si>
    <t>Matilda Aspinal</t>
  </si>
  <si>
    <t>ORD-0717</t>
  </si>
  <si>
    <t>Chris Sommerfeld</t>
  </si>
  <si>
    <t>ORD-0718</t>
  </si>
  <si>
    <t>Blane Ourry</t>
  </si>
  <si>
    <t>ORD-0719</t>
  </si>
  <si>
    <t>Maison Brevitt</t>
  </si>
  <si>
    <t>ORD-0720</t>
  </si>
  <si>
    <t>Aretha Crampton</t>
  </si>
  <si>
    <t>ORD-0721</t>
  </si>
  <si>
    <t>Boyce Kinkaid</t>
  </si>
  <si>
    <t>ORD-0722</t>
  </si>
  <si>
    <t>Maurice Tiptaft</t>
  </si>
  <si>
    <t>ORD-0723</t>
  </si>
  <si>
    <t>Brenda Parcells</t>
  </si>
  <si>
    <t>ORD-0724</t>
  </si>
  <si>
    <t>Farrel Smieton</t>
  </si>
  <si>
    <t>ORD-0725</t>
  </si>
  <si>
    <t>Cale Conigsby</t>
  </si>
  <si>
    <t>ORD-0726</t>
  </si>
  <si>
    <t>Giusto Cavill</t>
  </si>
  <si>
    <t>ORD-0727</t>
  </si>
  <si>
    <t>Iorgos Gealle</t>
  </si>
  <si>
    <t>ORD-0728</t>
  </si>
  <si>
    <t>Iago Scotchmoor</t>
  </si>
  <si>
    <t>ORD-0729</t>
  </si>
  <si>
    <t>Melody Coggon</t>
  </si>
  <si>
    <t>ORD-0730</t>
  </si>
  <si>
    <t>Josi Dillingston</t>
  </si>
  <si>
    <t>ORD-0731</t>
  </si>
  <si>
    <t>Evania Harris</t>
  </si>
  <si>
    <t>ORD-0732</t>
  </si>
  <si>
    <t>Brok Grote</t>
  </si>
  <si>
    <t>ORD-0733</t>
  </si>
  <si>
    <t>Bryn Donan</t>
  </si>
  <si>
    <t>ORD-0734</t>
  </si>
  <si>
    <t>Brook Gatheridge</t>
  </si>
  <si>
    <t>ORD-0735</t>
  </si>
  <si>
    <t>Cesaro Bairnsfather</t>
  </si>
  <si>
    <t>ORD-0736</t>
  </si>
  <si>
    <t>Livvie Stebbins</t>
  </si>
  <si>
    <t>ORD-0737</t>
  </si>
  <si>
    <t>Tybalt Altham</t>
  </si>
  <si>
    <t>ORD-0738</t>
  </si>
  <si>
    <t>Micki Cornish</t>
  </si>
  <si>
    <t>ORD-0739</t>
  </si>
  <si>
    <t>Lizzy Peplaw</t>
  </si>
  <si>
    <t>ORD-0740</t>
  </si>
  <si>
    <t>Vikky Pinder</t>
  </si>
  <si>
    <t>ORD-0741</t>
  </si>
  <si>
    <t>Joaquin Brettle</t>
  </si>
  <si>
    <t>ORD-0742</t>
  </si>
  <si>
    <t>Sheilah Simonou</t>
  </si>
  <si>
    <t>ORD-0743</t>
  </si>
  <si>
    <t>Elliott Maha</t>
  </si>
  <si>
    <t>ORD-0744</t>
  </si>
  <si>
    <t>Terza Plumbe</t>
  </si>
  <si>
    <t>ORD-0745</t>
  </si>
  <si>
    <t>Wake Hayford</t>
  </si>
  <si>
    <t>ORD-0746</t>
  </si>
  <si>
    <t>Barnabe Lambkin</t>
  </si>
  <si>
    <t>ORD-0747</t>
  </si>
  <si>
    <t>Burty Boncore</t>
  </si>
  <si>
    <t>ORD-0748</t>
  </si>
  <si>
    <t>Jamesy Walls</t>
  </si>
  <si>
    <t>ORD-0749</t>
  </si>
  <si>
    <t>Muffin MacCaughen</t>
  </si>
  <si>
    <t>ORD-0750</t>
  </si>
  <si>
    <t>Huntley Danniel</t>
  </si>
  <si>
    <t>ORD-0751</t>
  </si>
  <si>
    <t>Dannie Ancliffe</t>
  </si>
  <si>
    <t>ORD-0752</t>
  </si>
  <si>
    <t>Peggie Oganesian</t>
  </si>
  <si>
    <t>ORD-0753</t>
  </si>
  <si>
    <t>Freeland Glasbey</t>
  </si>
  <si>
    <t>ORD-0754</t>
  </si>
  <si>
    <t>Gerhardine Lakey</t>
  </si>
  <si>
    <t>ORD-0755</t>
  </si>
  <si>
    <t>Ortensia Bog</t>
  </si>
  <si>
    <t>ORD-0756</t>
  </si>
  <si>
    <t>Allen Cranefield</t>
  </si>
  <si>
    <t>ORD-0757</t>
  </si>
  <si>
    <t>Frazier Kobieriecki</t>
  </si>
  <si>
    <t>ORD-0758</t>
  </si>
  <si>
    <t>Wileen Campione</t>
  </si>
  <si>
    <t>ORD-0759</t>
  </si>
  <si>
    <t>Shell D'Onisi</t>
  </si>
  <si>
    <t>ORD-0760</t>
  </si>
  <si>
    <t>Gabie Barnett</t>
  </si>
  <si>
    <t>ORD-0761</t>
  </si>
  <si>
    <t>Christin Benitez</t>
  </si>
  <si>
    <t>ORD-0762</t>
  </si>
  <si>
    <t>Jayme Wesley</t>
  </si>
  <si>
    <t>ORD-0763</t>
  </si>
  <si>
    <t>Irving Batsford</t>
  </si>
  <si>
    <t>ORD-0764</t>
  </si>
  <si>
    <t>Tamqrah Churchlow</t>
  </si>
  <si>
    <t>ORD-0765</t>
  </si>
  <si>
    <t>Noreen Sterrie</t>
  </si>
  <si>
    <t>ORD-0766</t>
  </si>
  <si>
    <t>Sharleen McAuley</t>
  </si>
  <si>
    <t>ORD-0767</t>
  </si>
  <si>
    <t>Alisha Davidowsky</t>
  </si>
  <si>
    <t>ORD-0768</t>
  </si>
  <si>
    <t>Kalina Jacquemot</t>
  </si>
  <si>
    <t>ORD-0769</t>
  </si>
  <si>
    <t>Reece Croxton</t>
  </si>
  <si>
    <t>ORD-0770</t>
  </si>
  <si>
    <t>Chiquita Dax</t>
  </si>
  <si>
    <t>ORD-0771</t>
  </si>
  <si>
    <t>Dori Cohrs</t>
  </si>
  <si>
    <t>ORD-0772</t>
  </si>
  <si>
    <t>Aili Bradfield</t>
  </si>
  <si>
    <t>ORD-0773</t>
  </si>
  <si>
    <t>Elmer Poolton</t>
  </si>
  <si>
    <t>ORD-0774</t>
  </si>
  <si>
    <t>Denney Crate</t>
  </si>
  <si>
    <t>ORD-0775</t>
  </si>
  <si>
    <t>Enrico Airth</t>
  </si>
  <si>
    <t>ORD-0776</t>
  </si>
  <si>
    <t>Jacques Lindsey</t>
  </si>
  <si>
    <t>ORD-0777</t>
  </si>
  <si>
    <t>Guy Powles</t>
  </si>
  <si>
    <t>ORD-0778</t>
  </si>
  <si>
    <t>Francis Skellion</t>
  </si>
  <si>
    <t>ORD-0779</t>
  </si>
  <si>
    <t>Johnath Pawlowicz</t>
  </si>
  <si>
    <t>ORD-0780</t>
  </si>
  <si>
    <t>Jeanie Griffe</t>
  </si>
  <si>
    <t>ORD-0781</t>
  </si>
  <si>
    <t>Caye McGuane</t>
  </si>
  <si>
    <t>ORD-0782</t>
  </si>
  <si>
    <t>Cleavland Aspy</t>
  </si>
  <si>
    <t>ORD-0783</t>
  </si>
  <si>
    <t>Margaretha Buntin</t>
  </si>
  <si>
    <t>ORD-0784</t>
  </si>
  <si>
    <t>Chancey Warlowe</t>
  </si>
  <si>
    <t>ORD-0785</t>
  </si>
  <si>
    <t>Etti Ropars</t>
  </si>
  <si>
    <t>ORD-0786</t>
  </si>
  <si>
    <t>Sabine Tesmond</t>
  </si>
  <si>
    <t>ORD-0787</t>
  </si>
  <si>
    <t>Celinka Aleswell</t>
  </si>
  <si>
    <t>ORD-0788</t>
  </si>
  <si>
    <t>Lanita Lawlings</t>
  </si>
  <si>
    <t>ORD-0789</t>
  </si>
  <si>
    <t>Prissie Haresnaip</t>
  </si>
  <si>
    <t>ORD-0790</t>
  </si>
  <si>
    <t>Kevin Melvin</t>
  </si>
  <si>
    <t>ORD-0791</t>
  </si>
  <si>
    <t>Craggy Addicote</t>
  </si>
  <si>
    <t>ORD-0792</t>
  </si>
  <si>
    <t>Hayley Sambells</t>
  </si>
  <si>
    <t>ORD-0793</t>
  </si>
  <si>
    <t>Granny MacKim</t>
  </si>
  <si>
    <t>ORD-0794</t>
  </si>
  <si>
    <t>Caspar Wellbelove</t>
  </si>
  <si>
    <t>ORD-0795</t>
  </si>
  <si>
    <t>Reynolds Dobrowski</t>
  </si>
  <si>
    <t>ORD-0796</t>
  </si>
  <si>
    <t>Gypsy Ree</t>
  </si>
  <si>
    <t>ORD-0797</t>
  </si>
  <si>
    <t>Madelin Cowland</t>
  </si>
  <si>
    <t>ORD-0798</t>
  </si>
  <si>
    <t>Quent Gilling</t>
  </si>
  <si>
    <t>ORD-0799</t>
  </si>
  <si>
    <t>Drucy Heminsley</t>
  </si>
  <si>
    <t>ORD-0800</t>
  </si>
  <si>
    <t>Avis Aartsen</t>
  </si>
  <si>
    <t>ORD-0801</t>
  </si>
  <si>
    <t>Clemence Gerardin</t>
  </si>
  <si>
    <t>ORD-0802</t>
  </si>
  <si>
    <t>Hollis Segeswoeth</t>
  </si>
  <si>
    <t>ORD-0803</t>
  </si>
  <si>
    <t>Cammi Aymerich</t>
  </si>
  <si>
    <t>ORD-0804</t>
  </si>
  <si>
    <t>Batsheva Churchman</t>
  </si>
  <si>
    <t>ORD-0805</t>
  </si>
  <si>
    <t>Noni Scoular</t>
  </si>
  <si>
    <t>ORD-0806</t>
  </si>
  <si>
    <t>Adrianne Tivnan</t>
  </si>
  <si>
    <t>ORD-0807</t>
  </si>
  <si>
    <t>Mellie Wybron</t>
  </si>
  <si>
    <t>ORD-0808</t>
  </si>
  <si>
    <t>Belvia Meadley</t>
  </si>
  <si>
    <t>ORD-0809</t>
  </si>
  <si>
    <t>Tito Romeuf</t>
  </si>
  <si>
    <t>ORD-0810</t>
  </si>
  <si>
    <t>Nathan Kloser</t>
  </si>
  <si>
    <t>ORD-0811</t>
  </si>
  <si>
    <t>Tremain Ethridge</t>
  </si>
  <si>
    <t>ORD-0812</t>
  </si>
  <si>
    <t>Davina Tomik</t>
  </si>
  <si>
    <t>ORD-0813</t>
  </si>
  <si>
    <t>Catherine Bauser</t>
  </si>
  <si>
    <t>ORD-0814</t>
  </si>
  <si>
    <t>Filia McGlaughn</t>
  </si>
  <si>
    <t>ORD-0815</t>
  </si>
  <si>
    <t>Regan Hulke</t>
  </si>
  <si>
    <t>ORD-0816</t>
  </si>
  <si>
    <t>Gibbie Duggleby</t>
  </si>
  <si>
    <t>ORD-0817</t>
  </si>
  <si>
    <t>Vincenz MacDougal</t>
  </si>
  <si>
    <t>ORD-0818</t>
  </si>
  <si>
    <t>Rutter Fessier</t>
  </si>
  <si>
    <t>ORD-0819</t>
  </si>
  <si>
    <t>Zackariah Scamel</t>
  </si>
  <si>
    <t>ORD-0820</t>
  </si>
  <si>
    <t>Faye Sturch</t>
  </si>
  <si>
    <t>ORD-0821</t>
  </si>
  <si>
    <t>Elinore Jameson</t>
  </si>
  <si>
    <t>ORD-0822</t>
  </si>
  <si>
    <t>Maddie Cliss</t>
  </si>
  <si>
    <t>ORD-0823</t>
  </si>
  <si>
    <t>Aubry Hupka</t>
  </si>
  <si>
    <t>ORD-0824</t>
  </si>
  <si>
    <t>Daria Piotrkowski</t>
  </si>
  <si>
    <t>ORD-0825</t>
  </si>
  <si>
    <t>Kipp Wolton</t>
  </si>
  <si>
    <t>ORD-0826</t>
  </si>
  <si>
    <t>Ekaterina Gynne</t>
  </si>
  <si>
    <t>ORD-0827</t>
  </si>
  <si>
    <t>Codi Ashbe</t>
  </si>
  <si>
    <t>ORD-0828</t>
  </si>
  <si>
    <t>Glory De Lorenzo</t>
  </si>
  <si>
    <t>ORD-0829</t>
  </si>
  <si>
    <t>Josy Tee</t>
  </si>
  <si>
    <t>ORD-0830</t>
  </si>
  <si>
    <t>Quint Codeman</t>
  </si>
  <si>
    <t>ORD-0831</t>
  </si>
  <si>
    <t>Isidoro Bracknell</t>
  </si>
  <si>
    <t>ORD-0832</t>
  </si>
  <si>
    <t>Juanita Moggach</t>
  </si>
  <si>
    <t>ORD-0833</t>
  </si>
  <si>
    <t>Venus Larrosa</t>
  </si>
  <si>
    <t>ORD-0834</t>
  </si>
  <si>
    <t>Joletta Warcop</t>
  </si>
  <si>
    <t>ORD-0835</t>
  </si>
  <si>
    <t>Maryl Clubley</t>
  </si>
  <si>
    <t>ORD-0836</t>
  </si>
  <si>
    <t>Drucy Letty</t>
  </si>
  <si>
    <t>ORD-0837</t>
  </si>
  <si>
    <t>Ilise Ducastel</t>
  </si>
  <si>
    <t>ORD-0838</t>
  </si>
  <si>
    <t>Edithe Mitchall</t>
  </si>
  <si>
    <t>ORD-0839</t>
  </si>
  <si>
    <t>Orson Masselin</t>
  </si>
  <si>
    <t>ORD-0840</t>
  </si>
  <si>
    <t>Jacobo Whitely</t>
  </si>
  <si>
    <t>ORD-0841</t>
  </si>
  <si>
    <t>Vita Stroban</t>
  </si>
  <si>
    <t>ORD-0842</t>
  </si>
  <si>
    <t>Delmar Swepson</t>
  </si>
  <si>
    <t>ORD-0843</t>
  </si>
  <si>
    <t>Felice Alastair</t>
  </si>
  <si>
    <t>ORD-0844</t>
  </si>
  <si>
    <t>Cate Asher</t>
  </si>
  <si>
    <t>ORD-0845</t>
  </si>
  <si>
    <t>Elicia Blampey</t>
  </si>
  <si>
    <t>ORD-0846</t>
  </si>
  <si>
    <t>Kizzie Tyrer</t>
  </si>
  <si>
    <t>ORD-0847</t>
  </si>
  <si>
    <t>Jocko Osgerby</t>
  </si>
  <si>
    <t>ORD-0848</t>
  </si>
  <si>
    <t>Ardyth Raycroft</t>
  </si>
  <si>
    <t>ORD-0849</t>
  </si>
  <si>
    <t>Malcolm Canaan</t>
  </si>
  <si>
    <t>ORD-0850</t>
  </si>
  <si>
    <t>Kent Kielt</t>
  </si>
  <si>
    <t>ORD-0851</t>
  </si>
  <si>
    <t>Duffy Ramos</t>
  </si>
  <si>
    <t>ORD-0852</t>
  </si>
  <si>
    <t>Salomo Raynard</t>
  </si>
  <si>
    <t>ORD-0853</t>
  </si>
  <si>
    <t>Gert Latter</t>
  </si>
  <si>
    <t>ORD-0854</t>
  </si>
  <si>
    <t>Margy Calliss</t>
  </si>
  <si>
    <t>ORD-0855</t>
  </si>
  <si>
    <t>Broddie Glassford</t>
  </si>
  <si>
    <t>ORD-0856</t>
  </si>
  <si>
    <t>Diannne Rosbottom</t>
  </si>
  <si>
    <t>ORD-0857</t>
  </si>
  <si>
    <t>Yolanthe Hocking</t>
  </si>
  <si>
    <t>ORD-0858</t>
  </si>
  <si>
    <t>Margeaux Gillmore</t>
  </si>
  <si>
    <t>ORD-0859</t>
  </si>
  <si>
    <t>Rufe Gilhouley</t>
  </si>
  <si>
    <t>ORD-0860</t>
  </si>
  <si>
    <t>Breanne Zoren</t>
  </si>
  <si>
    <t>ORD-0861</t>
  </si>
  <si>
    <t>Calhoun Dinneen</t>
  </si>
  <si>
    <t>ORD-0862</t>
  </si>
  <si>
    <t>Jaimie Knappen</t>
  </si>
  <si>
    <t>ORD-0863</t>
  </si>
  <si>
    <t>Christiana Palliser</t>
  </si>
  <si>
    <t>ORD-0864</t>
  </si>
  <si>
    <t>Aeriel Matiebe</t>
  </si>
  <si>
    <t>ORD-0865</t>
  </si>
  <si>
    <t>Krysta Shevell</t>
  </si>
  <si>
    <t>ORD-0866</t>
  </si>
  <si>
    <t>Brennen Winter</t>
  </si>
  <si>
    <t>ORD-0867</t>
  </si>
  <si>
    <t>Ange Piser</t>
  </si>
  <si>
    <t>ORD-0868</t>
  </si>
  <si>
    <t>Herschel Caush</t>
  </si>
  <si>
    <t>ORD-0869</t>
  </si>
  <si>
    <t>Joy Claringbold</t>
  </si>
  <si>
    <t>ORD-0870</t>
  </si>
  <si>
    <t>Trenna Littlekit</t>
  </si>
  <si>
    <t>ORD-0871</t>
  </si>
  <si>
    <t>Lewiss Apark</t>
  </si>
  <si>
    <t>ORD-0872</t>
  </si>
  <si>
    <t>Veronike Larkworthy</t>
  </si>
  <si>
    <t>ORD-0873</t>
  </si>
  <si>
    <t>Hadrian Ryves</t>
  </si>
  <si>
    <t>ORD-0874</t>
  </si>
  <si>
    <t>Agnese Robuchon</t>
  </si>
  <si>
    <t>ORD-0875</t>
  </si>
  <si>
    <t>Mandy Smewin</t>
  </si>
  <si>
    <t>ORD-0876</t>
  </si>
  <si>
    <t>Lennie Wainer</t>
  </si>
  <si>
    <t>ORD-0877</t>
  </si>
  <si>
    <t>Gabie Leadbitter</t>
  </si>
  <si>
    <t>ORD-0878</t>
  </si>
  <si>
    <t>Maryann Finnan</t>
  </si>
  <si>
    <t>ORD-0879</t>
  </si>
  <si>
    <t>Sutton Ridgley</t>
  </si>
  <si>
    <t>ORD-0880</t>
  </si>
  <si>
    <t>Kiele Southcombe</t>
  </si>
  <si>
    <t>ORD-0881</t>
  </si>
  <si>
    <t>Joseph Benezet</t>
  </si>
  <si>
    <t>ORD-0882</t>
  </si>
  <si>
    <t>Audrye Calderon</t>
  </si>
  <si>
    <t>ORD-0883</t>
  </si>
  <si>
    <t>Sam Edgin</t>
  </si>
  <si>
    <t>ORD-0884</t>
  </si>
  <si>
    <t>Marilin Willars</t>
  </si>
  <si>
    <t>ORD-0885</t>
  </si>
  <si>
    <t>Lula Hampshaw</t>
  </si>
  <si>
    <t>ORD-0886</t>
  </si>
  <si>
    <t>Cathy Troy</t>
  </si>
  <si>
    <t>ORD-0887</t>
  </si>
  <si>
    <t>Katy Callway</t>
  </si>
  <si>
    <t>ORD-0888</t>
  </si>
  <si>
    <t>Fredericka Sancroft</t>
  </si>
  <si>
    <t>ORD-0889</t>
  </si>
  <si>
    <t>Gan Trevallion</t>
  </si>
  <si>
    <t>ORD-0890</t>
  </si>
  <si>
    <t>Fianna Churchward</t>
  </si>
  <si>
    <t>ORD-0891</t>
  </si>
  <si>
    <t>Falkner Pudney</t>
  </si>
  <si>
    <t>ORD-0892</t>
  </si>
  <si>
    <t>Kessia Conner</t>
  </si>
  <si>
    <t>ORD-0893</t>
  </si>
  <si>
    <t>Cicily Strathern</t>
  </si>
  <si>
    <t>ORD-0894</t>
  </si>
  <si>
    <t>Johnathan Hallwell</t>
  </si>
  <si>
    <t>ORD-0895</t>
  </si>
  <si>
    <t>Artemis Alans</t>
  </si>
  <si>
    <t>ORD-0896</t>
  </si>
  <si>
    <t>Brose Pareman</t>
  </si>
  <si>
    <t>ORD-0897</t>
  </si>
  <si>
    <t>Clevie Besemer</t>
  </si>
  <si>
    <t>ORD-0898</t>
  </si>
  <si>
    <t>Vassili Kaubisch</t>
  </si>
  <si>
    <t>ORD-0899</t>
  </si>
  <si>
    <t>Derk Spelling</t>
  </si>
  <si>
    <t>ORD-0900</t>
  </si>
  <si>
    <t>Maury Ashburner</t>
  </si>
  <si>
    <t>ORD-0901</t>
  </si>
  <si>
    <t>Cchaddie Whitebrook</t>
  </si>
  <si>
    <t>ORD-0902</t>
  </si>
  <si>
    <t>Rayna Wace</t>
  </si>
  <si>
    <t>ORD-0903</t>
  </si>
  <si>
    <t>Allyson Delcastel</t>
  </si>
  <si>
    <t>ORD-0904</t>
  </si>
  <si>
    <t>Wilt Klawi</t>
  </si>
  <si>
    <t>ORD-0905</t>
  </si>
  <si>
    <t>Mirilla Van De Cappelle</t>
  </si>
  <si>
    <t>ORD-0906</t>
  </si>
  <si>
    <t>Mathew Yearnes</t>
  </si>
  <si>
    <t>ORD-0907</t>
  </si>
  <si>
    <t>Dietrich Sawter</t>
  </si>
  <si>
    <t>ORD-0908</t>
  </si>
  <si>
    <t>Maris Collcott</t>
  </si>
  <si>
    <t>ORD-0909</t>
  </si>
  <si>
    <t>Chicky Rourke</t>
  </si>
  <si>
    <t>ORD-0910</t>
  </si>
  <si>
    <t>Doti Berresford</t>
  </si>
  <si>
    <t>ORD-0911</t>
  </si>
  <si>
    <t>Barby Fludgate</t>
  </si>
  <si>
    <t>ORD-0912</t>
  </si>
  <si>
    <t>Marne Hackney</t>
  </si>
  <si>
    <t>ORD-0913</t>
  </si>
  <si>
    <t>Maury Matiashvili</t>
  </si>
  <si>
    <t>ORD-0914</t>
  </si>
  <si>
    <t>Alfie Reijmers</t>
  </si>
  <si>
    <t>ORD-0915</t>
  </si>
  <si>
    <t>Adolpho Labrum</t>
  </si>
  <si>
    <t>ORD-0916</t>
  </si>
  <si>
    <t>Val Week</t>
  </si>
  <si>
    <t>ORD-0917</t>
  </si>
  <si>
    <t>Nichols Basson</t>
  </si>
  <si>
    <t>ORD-0918</t>
  </si>
  <si>
    <t>Donn Brayshay</t>
  </si>
  <si>
    <t>ORD-0919</t>
  </si>
  <si>
    <t>Lorrie Paxman</t>
  </si>
  <si>
    <t>ORD-0920</t>
  </si>
  <si>
    <t>Rikki Van den Oord</t>
  </si>
  <si>
    <t>ORD-0921</t>
  </si>
  <si>
    <t>Cobbie Rangeley</t>
  </si>
  <si>
    <t>ORD-0922</t>
  </si>
  <si>
    <t>Peria Longhorne</t>
  </si>
  <si>
    <t>ORD-0923</t>
  </si>
  <si>
    <t>Karlie Bentame</t>
  </si>
  <si>
    <t>ORD-0924</t>
  </si>
  <si>
    <t>Rycca Dogg</t>
  </si>
  <si>
    <t>ORD-0925</t>
  </si>
  <si>
    <t>Meaghan Girardey</t>
  </si>
  <si>
    <t>ORD-0926</t>
  </si>
  <si>
    <t>Nathalia Bohlmann</t>
  </si>
  <si>
    <t>ORD-0927</t>
  </si>
  <si>
    <t>Conroy Cyples</t>
  </si>
  <si>
    <t>ORD-0928</t>
  </si>
  <si>
    <t>Saw Studd</t>
  </si>
  <si>
    <t>ORD-0929</t>
  </si>
  <si>
    <t>Evangelia Coultish</t>
  </si>
  <si>
    <t>ORD-0930</t>
  </si>
  <si>
    <t>Adolphe Rowcliffe</t>
  </si>
  <si>
    <t>ORD-0931</t>
  </si>
  <si>
    <t>Leanna Viner</t>
  </si>
  <si>
    <t>ORD-0932</t>
  </si>
  <si>
    <t>George Cowpertwait</t>
  </si>
  <si>
    <t>ORD-0933</t>
  </si>
  <si>
    <t>Donny Peteri</t>
  </si>
  <si>
    <t>ORD-0934</t>
  </si>
  <si>
    <t>Job Lattimore</t>
  </si>
  <si>
    <t>ORD-0935</t>
  </si>
  <si>
    <t>Rey Danilovic</t>
  </si>
  <si>
    <t>ORD-0936</t>
  </si>
  <si>
    <t>Philis MacDonnell</t>
  </si>
  <si>
    <t>ORD-0937</t>
  </si>
  <si>
    <t>Sasha Morcomb</t>
  </si>
  <si>
    <t>ORD-0938</t>
  </si>
  <si>
    <t>Berkly Copin</t>
  </si>
  <si>
    <t>ORD-0939</t>
  </si>
  <si>
    <t>Nikos Records</t>
  </si>
  <si>
    <t>ORD-0940</t>
  </si>
  <si>
    <t>Olia Downey</t>
  </si>
  <si>
    <t>ORD-0941</t>
  </si>
  <si>
    <t>Kayla Wadesworth</t>
  </si>
  <si>
    <t>ORD-0942</t>
  </si>
  <si>
    <t>Elora Beevors</t>
  </si>
  <si>
    <t>ORD-0943</t>
  </si>
  <si>
    <t>Carlyle Delepine</t>
  </si>
  <si>
    <t>ORD-0944</t>
  </si>
  <si>
    <t>Rodd Reneke</t>
  </si>
  <si>
    <t>ORD-0945</t>
  </si>
  <si>
    <t>Godfrey D'eathe</t>
  </si>
  <si>
    <t>ORD-0946</t>
  </si>
  <si>
    <t>Rodrigo Welchman</t>
  </si>
  <si>
    <t>ORD-0947</t>
  </si>
  <si>
    <t>Adoree Basill</t>
  </si>
  <si>
    <t>ORD-0948</t>
  </si>
  <si>
    <t>Addia Toten</t>
  </si>
  <si>
    <t>ORD-0949</t>
  </si>
  <si>
    <t>Katee Bussy</t>
  </si>
  <si>
    <t>ORD-0950</t>
  </si>
  <si>
    <t>Philis Shurman</t>
  </si>
  <si>
    <t>ORD-0951</t>
  </si>
  <si>
    <t>Cristiano Wyeth</t>
  </si>
  <si>
    <t>ORD-0952</t>
  </si>
  <si>
    <t>Forster Phear</t>
  </si>
  <si>
    <t>ORD-0953</t>
  </si>
  <si>
    <t>Beckie Rodmell</t>
  </si>
  <si>
    <t>ORD-0954</t>
  </si>
  <si>
    <t>Lydie Notley</t>
  </si>
  <si>
    <t>ORD-0955</t>
  </si>
  <si>
    <t>Damiano Youll</t>
  </si>
  <si>
    <t>ORD-0956</t>
  </si>
  <si>
    <t>Frazer Robathon</t>
  </si>
  <si>
    <t>ORD-0957</t>
  </si>
  <si>
    <t>Jenica Wareing</t>
  </si>
  <si>
    <t>ORD-0958</t>
  </si>
  <si>
    <t>Luella Coot</t>
  </si>
  <si>
    <t>ORD-0959</t>
  </si>
  <si>
    <t>Lucky Shegog</t>
  </si>
  <si>
    <t>ORD-0960</t>
  </si>
  <si>
    <t>Stefano Mc Caughen</t>
  </si>
  <si>
    <t>ORD-0961</t>
  </si>
  <si>
    <t>Rollo Alcide</t>
  </si>
  <si>
    <t>ORD-0962</t>
  </si>
  <si>
    <t>Lotte Feaster</t>
  </si>
  <si>
    <t>ORD-0963</t>
  </si>
  <si>
    <t>Dulsea Emmanuel</t>
  </si>
  <si>
    <t>ORD-0964</t>
  </si>
  <si>
    <t>Christie Benns</t>
  </si>
  <si>
    <t>ORD-0965</t>
  </si>
  <si>
    <t>Shela Keach</t>
  </si>
  <si>
    <t>ORD-0966</t>
  </si>
  <si>
    <t>Troy Pickworth</t>
  </si>
  <si>
    <t>ORD-0967</t>
  </si>
  <si>
    <t>Shae Lasty</t>
  </si>
  <si>
    <t>ORD-0968</t>
  </si>
  <si>
    <t>Tatiana Duddan</t>
  </si>
  <si>
    <t>ORD-0969</t>
  </si>
  <si>
    <t>Milo Prendiville</t>
  </si>
  <si>
    <t>ORD-0970</t>
  </si>
  <si>
    <t>Josselyn Brun</t>
  </si>
  <si>
    <t>ORD-0971</t>
  </si>
  <si>
    <t>Fayette Pott</t>
  </si>
  <si>
    <t>ORD-0972</t>
  </si>
  <si>
    <t>Scot Glozman</t>
  </si>
  <si>
    <t>ORD-0973</t>
  </si>
  <si>
    <t>Efrem Qualtro</t>
  </si>
  <si>
    <t>ORD-0974</t>
  </si>
  <si>
    <t>Ketty Perel</t>
  </si>
  <si>
    <t>ORD-0975</t>
  </si>
  <si>
    <t>Kaela Barcke</t>
  </si>
  <si>
    <t>ORD-0976</t>
  </si>
  <si>
    <t>Minerva Varnals</t>
  </si>
  <si>
    <t>ORD-0977</t>
  </si>
  <si>
    <t>Kissiah Hatz</t>
  </si>
  <si>
    <t>ORD-0978</t>
  </si>
  <si>
    <t>Milena Kubiczek</t>
  </si>
  <si>
    <t>ORD-0979</t>
  </si>
  <si>
    <t>Britney Sarge</t>
  </si>
  <si>
    <t>ORD-0980</t>
  </si>
  <si>
    <t>Stanislas Ackred</t>
  </si>
  <si>
    <t>ORD-0981</t>
  </si>
  <si>
    <t>Romeo Fabry</t>
  </si>
  <si>
    <t>ORD-0982</t>
  </si>
  <si>
    <t>Ruperto Joincey</t>
  </si>
  <si>
    <t>ORD-0983</t>
  </si>
  <si>
    <t>Kippie Neilan</t>
  </si>
  <si>
    <t>ORD-0984</t>
  </si>
  <si>
    <t>Pip Havoc</t>
  </si>
  <si>
    <t>ORD-0985</t>
  </si>
  <si>
    <t>Rhianon Simeon</t>
  </si>
  <si>
    <t>ORD-0986</t>
  </si>
  <si>
    <t>Roseanne Spellar</t>
  </si>
  <si>
    <t>ORD-0987</t>
  </si>
  <si>
    <t>Timmi Lant</t>
  </si>
  <si>
    <t>ORD-0988</t>
  </si>
  <si>
    <t>Allayne Padson</t>
  </si>
  <si>
    <t>ORD-0989</t>
  </si>
  <si>
    <t>Cary Ollivierre</t>
  </si>
  <si>
    <t>ORD-0990</t>
  </si>
  <si>
    <t>Ceciley Somerscales</t>
  </si>
  <si>
    <t>ORD-0991</t>
  </si>
  <si>
    <t>Myranda Fountaine</t>
  </si>
  <si>
    <t>ORD-0992</t>
  </si>
  <si>
    <t>Kalle Musterd</t>
  </si>
  <si>
    <t>ORD-0993</t>
  </si>
  <si>
    <t>Annadiane Mountney</t>
  </si>
  <si>
    <t>ORD-0994</t>
  </si>
  <si>
    <t>Jamil Debold</t>
  </si>
  <si>
    <t>ORD-0995</t>
  </si>
  <si>
    <t>Sigismund Haggish</t>
  </si>
  <si>
    <t>ORD-0996</t>
  </si>
  <si>
    <t>Tiler Pibworth</t>
  </si>
  <si>
    <t>ORD-0997</t>
  </si>
  <si>
    <t>Jo Bonny</t>
  </si>
  <si>
    <t>ORD-0998</t>
  </si>
  <si>
    <t>Lanae Collinette</t>
  </si>
  <si>
    <t>ORD-0999</t>
  </si>
  <si>
    <t>Hamlen Mc-Kerley</t>
  </si>
  <si>
    <t>ORD-1000</t>
  </si>
  <si>
    <t>Timofei Winston</t>
  </si>
  <si>
    <t xml:space="preserve">Product Name         </t>
  </si>
  <si>
    <t xml:space="preserve">Unit Price </t>
  </si>
  <si>
    <t xml:space="preserve">Cost Percentage </t>
  </si>
  <si>
    <t>Unit Price</t>
  </si>
  <si>
    <t>Year</t>
  </si>
  <si>
    <t>Month</t>
  </si>
  <si>
    <t>Day</t>
  </si>
  <si>
    <t>Delivery Time</t>
  </si>
  <si>
    <t>Sales Revenue</t>
  </si>
  <si>
    <t>Net Profit</t>
  </si>
  <si>
    <t>Total Cost</t>
  </si>
  <si>
    <t>Mean</t>
  </si>
  <si>
    <t>Standard Error</t>
  </si>
  <si>
    <t>Median</t>
  </si>
  <si>
    <t>Mode</t>
  </si>
  <si>
    <t>Standard Deviation</t>
  </si>
  <si>
    <t>Sample Variance</t>
  </si>
  <si>
    <t>Kurtosis</t>
  </si>
  <si>
    <t>Skewness</t>
  </si>
  <si>
    <t>Range</t>
  </si>
  <si>
    <t>Minimum</t>
  </si>
  <si>
    <t>Maximum</t>
  </si>
  <si>
    <t>Sum</t>
  </si>
  <si>
    <t>Count</t>
  </si>
  <si>
    <t>Descriptive Statistics</t>
  </si>
  <si>
    <t>Descriptive Statistical Analysis of Sales and Operational Metrics</t>
  </si>
  <si>
    <t>Anova: Single Factor</t>
  </si>
  <si>
    <t>SUMMARY</t>
  </si>
  <si>
    <t>Groups</t>
  </si>
  <si>
    <t>Average</t>
  </si>
  <si>
    <t>Variance</t>
  </si>
  <si>
    <t>ANOVA</t>
  </si>
  <si>
    <t>Source of Variation</t>
  </si>
  <si>
    <t>SS</t>
  </si>
  <si>
    <t>df</t>
  </si>
  <si>
    <t>MS</t>
  </si>
  <si>
    <t>F</t>
  </si>
  <si>
    <t>P-value</t>
  </si>
  <si>
    <t>F crit</t>
  </si>
  <si>
    <t>Between Groups</t>
  </si>
  <si>
    <t>Within Groups</t>
  </si>
  <si>
    <t>Total</t>
  </si>
  <si>
    <t>ANOVA of Net Profit Differences by Product Category</t>
  </si>
  <si>
    <t>F = 61.42, p-value &lt; 0.001</t>
  </si>
  <si>
    <t>:</t>
  </si>
  <si>
    <t>Sales Transaction Form</t>
  </si>
  <si>
    <t xml:space="preserve">Payment Method </t>
  </si>
  <si>
    <t>(All)</t>
  </si>
  <si>
    <t>Sum of Sales Revenue</t>
  </si>
  <si>
    <t>Sum of Total Cost</t>
  </si>
  <si>
    <t>Sum of Net Profit</t>
  </si>
  <si>
    <t>Row Labels</t>
  </si>
  <si>
    <t>Grand Total</t>
  </si>
  <si>
    <t>Count of Customer Name</t>
  </si>
  <si>
    <t>Count of Status</t>
  </si>
  <si>
    <t>Percentage</t>
  </si>
  <si>
    <t>Other</t>
  </si>
  <si>
    <t>Jan</t>
  </si>
  <si>
    <t>Feb</t>
  </si>
  <si>
    <t>Mar</t>
  </si>
  <si>
    <t>Apr</t>
  </si>
  <si>
    <t>May</t>
  </si>
  <si>
    <t>Jun</t>
  </si>
  <si>
    <t>Jul</t>
  </si>
  <si>
    <t>Aug</t>
  </si>
  <si>
    <t>Sep</t>
  </si>
  <si>
    <t>Oct</t>
  </si>
  <si>
    <t>Nov</t>
  </si>
  <si>
    <t>Dec</t>
  </si>
  <si>
    <t>Support</t>
  </si>
  <si>
    <t>Find Position</t>
  </si>
  <si>
    <t>Previous Month</t>
  </si>
  <si>
    <t>Current Revenue</t>
  </si>
  <si>
    <t>Previous Revenue</t>
  </si>
  <si>
    <t>Value Difference</t>
  </si>
  <si>
    <t xml:space="preserve">Percentage Difference </t>
  </si>
  <si>
    <t>Final Revenue Vs. LM</t>
  </si>
  <si>
    <t>Revenue</t>
  </si>
  <si>
    <t>Costs</t>
  </si>
  <si>
    <t>Current Costs</t>
  </si>
  <si>
    <t>Previous Costs</t>
  </si>
  <si>
    <t>Percentage Difference</t>
  </si>
  <si>
    <t>Final Costs Vs. LM</t>
  </si>
  <si>
    <t>Profit</t>
  </si>
  <si>
    <t>Current Profit</t>
  </si>
  <si>
    <t>Previous Profit</t>
  </si>
  <si>
    <t>Final Profit Vs. LM</t>
  </si>
  <si>
    <t>Order</t>
  </si>
  <si>
    <t>Current Order</t>
  </si>
  <si>
    <t>Previous Order</t>
  </si>
  <si>
    <t>Final Order Vs. LM</t>
  </si>
  <si>
    <t>Sun</t>
  </si>
  <si>
    <t>Mon</t>
  </si>
  <si>
    <t>Tue</t>
  </si>
  <si>
    <t>Wed</t>
  </si>
  <si>
    <t>Thu</t>
  </si>
  <si>
    <t>Fri</t>
  </si>
  <si>
    <t>Sat</t>
  </si>
  <si>
    <t>Count of Payment Method</t>
  </si>
  <si>
    <t>Total Costs</t>
  </si>
  <si>
    <t xml:space="preserve">Total </t>
  </si>
  <si>
    <t>Sales Location</t>
  </si>
  <si>
    <t>Official Website</t>
  </si>
  <si>
    <t>Shopee</t>
  </si>
  <si>
    <t>TikTok Shop</t>
  </si>
  <si>
    <t>Retail Store</t>
  </si>
  <si>
    <t>Pharmacy Chain</t>
  </si>
  <si>
    <t>Beauty Store</t>
  </si>
  <si>
    <t>Sales Revenue (%)</t>
  </si>
  <si>
    <t>Sales Revenue by Day of the Week</t>
  </si>
  <si>
    <t>Sales, Costs, and Profit Analysis by Category</t>
  </si>
  <si>
    <t>Monthly Sales, Costs, and Profit Trend</t>
  </si>
  <si>
    <t>Transaction Distribution by Payment Method</t>
  </si>
  <si>
    <t>Sales Revenue Distribution by Sales Location</t>
  </si>
  <si>
    <t>In order to support profitability-driven strategic decision-making, this analysis attempts to determine whether there are variations in the average net profit per order across skincare product categories.</t>
  </si>
  <si>
    <t>Scenario</t>
  </si>
  <si>
    <t>Hypotheses</t>
  </si>
  <si>
    <r>
      <rPr>
        <b/>
        <sz val="11"/>
        <color theme="1"/>
        <rFont val="Calibri"/>
        <family val="2"/>
        <scheme val="minor"/>
      </rPr>
      <t xml:space="preserve">H0: </t>
    </r>
    <r>
      <rPr>
        <sz val="11"/>
        <color theme="1"/>
        <rFont val="Calibri"/>
        <family val="2"/>
        <scheme val="minor"/>
      </rPr>
      <t>The average net profit per order is the same for all product categories.</t>
    </r>
  </si>
  <si>
    <r>
      <rPr>
        <b/>
        <sz val="11"/>
        <color theme="1"/>
        <rFont val="Calibri"/>
        <family val="2"/>
        <scheme val="minor"/>
      </rPr>
      <t>H1:</t>
    </r>
    <r>
      <rPr>
        <sz val="11"/>
        <color theme="1"/>
        <rFont val="Calibri"/>
        <family val="2"/>
        <scheme val="minor"/>
      </rPr>
      <t xml:space="preserve"> At least one product category has a different average net profit per order.</t>
    </r>
  </si>
  <si>
    <t>H0 is rejected → There are statistically significant variations in profits between categories.</t>
  </si>
  <si>
    <t>Statistical Results</t>
  </si>
  <si>
    <t>Interpretation</t>
  </si>
  <si>
    <t>Product category has a significant effect on net profit per order. Serum generates the highest profit, while Cleanser records the lowest, indicating differences in margin structures across categories.</t>
  </si>
  <si>
    <t>Business Implications</t>
  </si>
  <si>
    <t>Business strategies shouldn't be based only on sales volume because profitability varies across product categories.</t>
  </si>
  <si>
    <t>Recommendations</t>
  </si>
  <si>
    <t>Optimize pricing and cost structures for lower-margin categories (Cleanser) and devote more resources and marketing efforts to high-profit categories (Serum, Moisturizer).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</si>
</sst>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1" formatCode="_-* #,##0_-;\-* #,##0_-;_-* &quot;-&quot;_-;_-@_-"/>
    <numFmt numFmtId="164" formatCode="_-[$$-409]* #,##0.00_ ;_-[$$-409]* \-#,##0.00\ ;_-[$$-409]* &quot;-&quot;??_ ;_-@_ "/>
    <numFmt numFmtId="165" formatCode="_-[$$-409]* #,##0_ ;_-[$$-409]* \-#,##0\ ;_-[$$-409]* &quot;-&quot;??_ ;_-@_ "/>
    <numFmt numFmtId="166" formatCode="_-* #,##0.00_-;\-* #,##0.00_-;_-* &quot;-&quot;_-;_-@_-"/>
  </numFmts>
  <fonts count="11" x14ac:knownFonts="1">
    <font>
      <sz val="11"/>
      <color theme="1"/>
      <name val="Calibri"/>
      <family val="2"/>
      <scheme val="minor"/>
    </font>
    <font>
      <b/>
      <sz val="11"/>
      <color theme="1"/>
      <name val="Calibri"/>
      <family val="2"/>
      <scheme val="minor"/>
    </font>
    <font>
      <sz val="11"/>
      <color theme="1"/>
      <name val="Calibri"/>
      <family val="2"/>
      <scheme val="minor"/>
    </font>
    <font>
      <b/>
      <i/>
      <sz val="12"/>
      <color theme="1"/>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sz val="14"/>
      <color theme="1"/>
      <name val="Calibri"/>
      <family val="2"/>
      <scheme val="minor"/>
    </font>
    <font>
      <b/>
      <sz val="36"/>
      <color theme="1"/>
      <name val="Calibri"/>
      <family val="2"/>
      <scheme val="minor"/>
    </font>
    <font>
      <b/>
      <sz val="18"/>
      <color rgb="FF000000"/>
      <name val="Calibri"/>
      <family val="2"/>
    </font>
    <font>
      <sz val="12"/>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5"/>
        <bgColor indexed="64"/>
      </patternFill>
    </fill>
  </fills>
  <borders count="36">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41" fontId="2" fillId="0" borderId="0" applyFont="0" applyFill="0" applyBorder="0" applyAlignment="0" applyProtection="0"/>
    <xf numFmtId="9" fontId="2" fillId="0" borderId="0" applyFont="0" applyFill="0" applyBorder="0" applyAlignment="0" applyProtection="0"/>
  </cellStyleXfs>
  <cellXfs count="107">
    <xf numFmtId="0" fontId="0" fillId="0" borderId="0" xfId="0"/>
    <xf numFmtId="0" fontId="0" fillId="0" borderId="0" xfId="0" applyAlignment="1">
      <alignment horizontal="center"/>
    </xf>
    <xf numFmtId="0" fontId="1" fillId="0" borderId="0" xfId="0" applyFont="1" applyAlignment="1">
      <alignment horizontal="center"/>
    </xf>
    <xf numFmtId="0" fontId="0" fillId="0" borderId="0" xfId="0" applyNumberFormat="1"/>
    <xf numFmtId="14" fontId="0" fillId="0" borderId="0" xfId="0" applyNumberFormat="1"/>
    <xf numFmtId="0" fontId="1" fillId="0" borderId="0" xfId="0" applyNumberFormat="1" applyFont="1" applyAlignment="1">
      <alignment horizontal="center"/>
    </xf>
    <xf numFmtId="0" fontId="0" fillId="0" borderId="0" xfId="0" applyAlignment="1">
      <alignment horizontal="left"/>
    </xf>
    <xf numFmtId="0" fontId="0" fillId="0" borderId="0" xfId="0" applyBorder="1"/>
    <xf numFmtId="0" fontId="0" fillId="0" borderId="7" xfId="0" applyFill="1" applyBorder="1" applyAlignment="1"/>
    <xf numFmtId="0" fontId="0" fillId="0" borderId="10" xfId="0" applyFill="1" applyBorder="1" applyAlignment="1"/>
    <xf numFmtId="0" fontId="0" fillId="0" borderId="11" xfId="0" applyFill="1" applyBorder="1" applyAlignment="1"/>
    <xf numFmtId="0" fontId="0" fillId="0" borderId="12" xfId="0" applyFill="1" applyBorder="1" applyAlignment="1"/>
    <xf numFmtId="0" fontId="0" fillId="0" borderId="13" xfId="0" applyFill="1" applyBorder="1" applyAlignment="1"/>
    <xf numFmtId="0" fontId="0" fillId="0" borderId="14" xfId="0" applyFill="1" applyBorder="1" applyAlignment="1"/>
    <xf numFmtId="0" fontId="4" fillId="0" borderId="15" xfId="0" applyFont="1" applyFill="1" applyBorder="1" applyAlignment="1">
      <alignment horizontal="center"/>
    </xf>
    <xf numFmtId="0" fontId="4" fillId="0" borderId="16" xfId="0" applyFont="1" applyFill="1" applyBorder="1" applyAlignment="1">
      <alignment horizontal="center"/>
    </xf>
    <xf numFmtId="0" fontId="4" fillId="0" borderId="17" xfId="0" applyFont="1" applyFill="1" applyBorder="1" applyAlignment="1">
      <alignment horizontal="center"/>
    </xf>
    <xf numFmtId="0" fontId="0" fillId="0" borderId="18" xfId="0" applyFill="1" applyBorder="1" applyAlignment="1"/>
    <xf numFmtId="0" fontId="0" fillId="0" borderId="19" xfId="0" applyFill="1" applyBorder="1" applyAlignment="1"/>
    <xf numFmtId="0" fontId="0" fillId="0" borderId="20" xfId="0" applyFill="1" applyBorder="1" applyAlignment="1"/>
    <xf numFmtId="0" fontId="4" fillId="0" borderId="2" xfId="0" applyFont="1" applyBorder="1" applyAlignment="1">
      <alignment horizontal="center"/>
    </xf>
    <xf numFmtId="0" fontId="0" fillId="0" borderId="21" xfId="0" applyFill="1" applyBorder="1" applyAlignment="1"/>
    <xf numFmtId="0" fontId="0" fillId="0" borderId="22" xfId="0" applyFill="1" applyBorder="1" applyAlignment="1"/>
    <xf numFmtId="0" fontId="0" fillId="0" borderId="23" xfId="0" applyFill="1" applyBorder="1" applyAlignment="1"/>
    <xf numFmtId="0" fontId="4" fillId="0" borderId="0" xfId="0" applyFont="1"/>
    <xf numFmtId="0" fontId="4" fillId="0" borderId="0" xfId="0" applyFont="1" applyAlignment="1">
      <alignment horizontal="center"/>
    </xf>
    <xf numFmtId="0" fontId="0" fillId="0" borderId="0" xfId="0" applyAlignment="1">
      <alignment horizontal="left"/>
    </xf>
    <xf numFmtId="0" fontId="0" fillId="0" borderId="7" xfId="0" applyBorder="1"/>
    <xf numFmtId="0" fontId="4" fillId="0" borderId="8" xfId="0" applyFont="1" applyBorder="1" applyAlignment="1">
      <alignment horizontal="center"/>
    </xf>
    <xf numFmtId="0" fontId="4" fillId="0" borderId="9" xfId="0" applyFont="1" applyBorder="1" applyAlignment="1">
      <alignment horizontal="center"/>
    </xf>
    <xf numFmtId="0" fontId="0" fillId="0" borderId="10" xfId="0" applyBorder="1"/>
    <xf numFmtId="0" fontId="0" fillId="0" borderId="11" xfId="0" applyBorder="1"/>
    <xf numFmtId="0" fontId="0" fillId="0" borderId="12" xfId="0" applyBorder="1"/>
    <xf numFmtId="0" fontId="4" fillId="0" borderId="27" xfId="0" applyFont="1" applyBorder="1" applyAlignment="1">
      <alignment horizontal="center"/>
    </xf>
    <xf numFmtId="0" fontId="0" fillId="0" borderId="19" xfId="0" applyBorder="1"/>
    <xf numFmtId="0" fontId="0" fillId="0" borderId="20" xfId="0" applyBorder="1"/>
    <xf numFmtId="0" fontId="4" fillId="0" borderId="28" xfId="0" applyFont="1" applyBorder="1" applyAlignment="1">
      <alignment horizontal="center"/>
    </xf>
    <xf numFmtId="0" fontId="0" fillId="0" borderId="22" xfId="0" applyBorder="1"/>
    <xf numFmtId="0" fontId="0" fillId="0" borderId="23" xfId="0" applyBorder="1"/>
    <xf numFmtId="0" fontId="3" fillId="0" borderId="8" xfId="0" applyFont="1" applyFill="1" applyBorder="1" applyAlignment="1">
      <alignment horizontal="center"/>
    </xf>
    <xf numFmtId="0" fontId="3" fillId="0" borderId="9" xfId="0" applyFont="1" applyFill="1" applyBorder="1" applyAlignment="1">
      <alignment horizontal="center"/>
    </xf>
    <xf numFmtId="0" fontId="3" fillId="0" borderId="27" xfId="0" applyFont="1" applyFill="1" applyBorder="1" applyAlignment="1">
      <alignment horizontal="center"/>
    </xf>
    <xf numFmtId="0" fontId="3" fillId="0" borderId="28" xfId="0" applyFont="1" applyFill="1" applyBorder="1" applyAlignment="1">
      <alignment horizontal="center"/>
    </xf>
    <xf numFmtId="0" fontId="0" fillId="0" borderId="29" xfId="0" applyBorder="1"/>
    <xf numFmtId="0" fontId="0" fillId="0" borderId="31" xfId="0" applyBorder="1"/>
    <xf numFmtId="0" fontId="0" fillId="0" borderId="30" xfId="0" applyBorder="1"/>
    <xf numFmtId="0" fontId="0" fillId="0" borderId="32" xfId="0" applyBorder="1"/>
    <xf numFmtId="0" fontId="0" fillId="0" borderId="34" xfId="0" applyBorder="1"/>
    <xf numFmtId="0" fontId="0" fillId="0" borderId="35" xfId="0" applyBorder="1"/>
    <xf numFmtId="0" fontId="0" fillId="0" borderId="18" xfId="0" applyBorder="1"/>
    <xf numFmtId="0" fontId="0" fillId="0" borderId="0" xfId="0" pivotButton="1"/>
    <xf numFmtId="165" fontId="0" fillId="0" borderId="0" xfId="0" applyNumberFormat="1"/>
    <xf numFmtId="9" fontId="0" fillId="0" borderId="0" xfId="2" applyFont="1"/>
    <xf numFmtId="9" fontId="0" fillId="0" borderId="0" xfId="2" applyFont="1" applyAlignment="1">
      <alignment horizontal="center"/>
    </xf>
    <xf numFmtId="41" fontId="0" fillId="0" borderId="0" xfId="1" applyFont="1" applyAlignment="1">
      <alignment horizontal="center"/>
    </xf>
    <xf numFmtId="166" fontId="0" fillId="0" borderId="0" xfId="1" applyNumberFormat="1" applyFont="1" applyAlignment="1"/>
    <xf numFmtId="166" fontId="0" fillId="0" borderId="0" xfId="1" applyNumberFormat="1" applyFont="1" applyAlignment="1">
      <alignment horizontal="center"/>
    </xf>
    <xf numFmtId="166" fontId="0" fillId="0" borderId="0" xfId="1" applyNumberFormat="1" applyFont="1"/>
    <xf numFmtId="0" fontId="0" fillId="0" borderId="0" xfId="0" pivotButton="1" applyAlignment="1">
      <alignment horizontal="center"/>
    </xf>
    <xf numFmtId="0" fontId="1" fillId="0" borderId="0" xfId="0" pivotButton="1" applyFont="1" applyAlignment="1">
      <alignment horizontal="center"/>
    </xf>
    <xf numFmtId="0" fontId="1" fillId="0" borderId="0" xfId="0" pivotButton="1" applyFont="1"/>
    <xf numFmtId="0" fontId="10" fillId="0" borderId="0" xfId="0" applyFont="1"/>
    <xf numFmtId="164" fontId="1" fillId="0" borderId="0" xfId="0" applyNumberFormat="1" applyFont="1"/>
    <xf numFmtId="9" fontId="1" fillId="0" borderId="0" xfId="2" applyFont="1"/>
    <xf numFmtId="10" fontId="0" fillId="0" borderId="0" xfId="2" applyNumberFormat="1" applyFont="1"/>
    <xf numFmtId="0" fontId="0" fillId="0" borderId="0" xfId="0" applyFont="1"/>
    <xf numFmtId="0" fontId="0" fillId="2" borderId="0" xfId="0" applyFill="1"/>
    <xf numFmtId="0" fontId="10" fillId="0" borderId="0" xfId="0" applyFont="1" applyAlignment="1">
      <alignment horizontal="center"/>
    </xf>
    <xf numFmtId="0" fontId="7" fillId="2" borderId="7" xfId="0" applyFont="1" applyFill="1" applyBorder="1" applyAlignment="1">
      <alignment vertical="center"/>
    </xf>
    <xf numFmtId="1" fontId="7" fillId="2" borderId="7" xfId="0" applyNumberFormat="1" applyFont="1" applyFill="1" applyBorder="1" applyAlignment="1">
      <alignment vertical="center"/>
    </xf>
    <xf numFmtId="41" fontId="7" fillId="2" borderId="7" xfId="1" applyFont="1" applyFill="1" applyBorder="1" applyAlignment="1">
      <alignment vertical="center"/>
    </xf>
    <xf numFmtId="14" fontId="7" fillId="2" borderId="7" xfId="0" applyNumberFormat="1" applyFont="1" applyFill="1" applyBorder="1" applyAlignment="1">
      <alignment vertical="center"/>
    </xf>
    <xf numFmtId="0" fontId="7" fillId="2" borderId="0" xfId="0" applyFont="1" applyFill="1"/>
    <xf numFmtId="0" fontId="0" fillId="4" borderId="3" xfId="0" applyFill="1" applyBorder="1"/>
    <xf numFmtId="0" fontId="0" fillId="4" borderId="0" xfId="0" applyFill="1" applyBorder="1"/>
    <xf numFmtId="0" fontId="0" fillId="4" borderId="0" xfId="0" applyFill="1" applyBorder="1" applyAlignment="1">
      <alignment horizontal="center"/>
    </xf>
    <xf numFmtId="0" fontId="0" fillId="4" borderId="0" xfId="0" applyFill="1" applyBorder="1" applyAlignment="1">
      <alignment horizontal="left"/>
    </xf>
    <xf numFmtId="0" fontId="0" fillId="4" borderId="4" xfId="0" applyFill="1" applyBorder="1"/>
    <xf numFmtId="0" fontId="5" fillId="4" borderId="0" xfId="0" applyFont="1" applyFill="1" applyBorder="1" applyAlignment="1">
      <alignment horizontal="left" vertical="center"/>
    </xf>
    <xf numFmtId="0" fontId="5" fillId="4" borderId="0" xfId="0" applyFont="1" applyFill="1" applyBorder="1" applyAlignment="1">
      <alignment horizontal="center" vertical="center"/>
    </xf>
    <xf numFmtId="0" fontId="7" fillId="4" borderId="0" xfId="0" applyFont="1" applyFill="1" applyBorder="1" applyAlignment="1">
      <alignment vertical="center"/>
    </xf>
    <xf numFmtId="0" fontId="7" fillId="4" borderId="0" xfId="0" applyFont="1" applyFill="1" applyBorder="1" applyAlignment="1">
      <alignment horizontal="left" vertical="center"/>
    </xf>
    <xf numFmtId="0" fontId="5" fillId="4" borderId="0" xfId="0" applyFont="1" applyFill="1" applyBorder="1" applyAlignment="1">
      <alignment horizontal="center"/>
    </xf>
    <xf numFmtId="0" fontId="7" fillId="4" borderId="0" xfId="0" applyFont="1" applyFill="1" applyBorder="1"/>
    <xf numFmtId="0" fontId="7" fillId="4" borderId="0" xfId="0" applyFont="1" applyFill="1" applyBorder="1" applyAlignment="1">
      <alignment horizontal="left"/>
    </xf>
    <xf numFmtId="0" fontId="7" fillId="4" borderId="0" xfId="0" applyFont="1" applyFill="1" applyBorder="1" applyAlignment="1">
      <alignment horizontal="center"/>
    </xf>
    <xf numFmtId="0" fontId="7" fillId="4" borderId="3" xfId="0" applyFont="1" applyFill="1" applyBorder="1"/>
    <xf numFmtId="0" fontId="7" fillId="4" borderId="4" xfId="0" applyFont="1" applyFill="1" applyBorder="1"/>
    <xf numFmtId="0" fontId="7" fillId="4" borderId="5" xfId="0" applyFont="1" applyFill="1" applyBorder="1"/>
    <xf numFmtId="0" fontId="7" fillId="4" borderId="1" xfId="0" applyFont="1" applyFill="1" applyBorder="1"/>
    <xf numFmtId="0" fontId="7" fillId="4" borderId="6" xfId="0" applyFont="1" applyFill="1" applyBorder="1"/>
    <xf numFmtId="0" fontId="0" fillId="0" borderId="0" xfId="0" applyAlignment="1">
      <alignment horizontal="left"/>
    </xf>
    <xf numFmtId="0" fontId="4" fillId="0" borderId="0" xfId="0" applyFont="1" applyAlignment="1">
      <alignment horizontal="left"/>
    </xf>
    <xf numFmtId="0" fontId="0" fillId="0" borderId="0" xfId="0" applyAlignment="1">
      <alignment horizontal="left" vertical="center"/>
    </xf>
    <xf numFmtId="0" fontId="0" fillId="0" borderId="0" xfId="0" applyAlignment="1">
      <alignment horizontal="left" vertical="center" wrapText="1"/>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26" xfId="0" applyFont="1" applyBorder="1" applyAlignment="1">
      <alignment horizontal="center" vertical="center"/>
    </xf>
    <xf numFmtId="0" fontId="0" fillId="0" borderId="0" xfId="0" applyAlignment="1">
      <alignment horizontal="left"/>
    </xf>
    <xf numFmtId="0" fontId="0" fillId="0" borderId="0" xfId="0" applyFont="1" applyAlignment="1">
      <alignment horizontal="left"/>
    </xf>
    <xf numFmtId="0" fontId="4" fillId="0" borderId="0" xfId="0" applyFont="1" applyBorder="1" applyAlignment="1">
      <alignment horizontal="left"/>
    </xf>
    <xf numFmtId="0" fontId="4" fillId="0" borderId="33" xfId="0" applyFont="1" applyBorder="1" applyAlignment="1">
      <alignment horizontal="left"/>
    </xf>
    <xf numFmtId="0" fontId="1" fillId="0" borderId="0" xfId="0" applyFont="1" applyAlignment="1">
      <alignment horizontal="center"/>
    </xf>
    <xf numFmtId="0" fontId="4" fillId="0" borderId="0" xfId="0" applyFont="1" applyAlignment="1">
      <alignment horizontal="center"/>
    </xf>
    <xf numFmtId="0" fontId="8" fillId="3" borderId="24" xfId="0" applyFont="1" applyFill="1" applyBorder="1" applyAlignment="1">
      <alignment horizontal="center"/>
    </xf>
    <xf numFmtId="0" fontId="8" fillId="3" borderId="25" xfId="0" applyFont="1" applyFill="1" applyBorder="1" applyAlignment="1">
      <alignment horizontal="center"/>
    </xf>
    <xf numFmtId="0" fontId="8" fillId="3" borderId="26" xfId="0" applyFont="1" applyFill="1" applyBorder="1" applyAlignment="1">
      <alignment horizontal="center"/>
    </xf>
  </cellXfs>
  <cellStyles count="3">
    <cellStyle name="Comma [0]" xfId="1" builtinId="6"/>
    <cellStyle name="Normal" xfId="0" builtinId="0"/>
    <cellStyle name="Percent" xfId="2" builtinId="5"/>
  </cellStyles>
  <dxfs count="68">
    <dxf>
      <alignment horizontal="center" readingOrder="0"/>
    </dxf>
    <dxf>
      <alignment horizontal="center" readingOrder="0"/>
    </dxf>
    <dxf>
      <alignment horizontal="center" readingOrder="0"/>
    </dxf>
    <dxf>
      <alignment horizontal="center" readingOrder="0"/>
    </dxf>
    <dxf>
      <font>
        <b/>
      </font>
    </dxf>
    <dxf>
      <alignment horizontal="center" readingOrder="0"/>
    </dxf>
    <dxf>
      <alignment horizontal="center" readingOrder="0"/>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alignment horizontal="center" readingOrder="0"/>
    </dxf>
    <dxf>
      <alignment horizontal="center" readingOrder="0"/>
    </dxf>
    <dxf>
      <alignment horizontal="center" readingOrder="0"/>
    </dxf>
    <dxf>
      <alignment horizontal="center" readingOrder="0"/>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color rgb="FF00B050"/>
      </font>
    </dxf>
    <dxf>
      <font>
        <b/>
        <i val="0"/>
        <color rgb="FFFF0000"/>
      </font>
    </dxf>
    <dxf>
      <font>
        <b/>
        <i val="0"/>
        <color rgb="FFFF0000"/>
      </font>
    </dxf>
    <dxf>
      <font>
        <b/>
        <i val="0"/>
        <color rgb="FF00B050"/>
      </font>
    </dxf>
    <dxf>
      <font>
        <b/>
        <i val="0"/>
        <color rgb="FF00B050"/>
      </font>
    </dxf>
    <dxf>
      <font>
        <b/>
        <i val="0"/>
        <color rgb="FFFF0000"/>
      </font>
    </dxf>
    <dxf>
      <font>
        <b/>
        <i val="0"/>
        <color rgb="FF00B050"/>
      </font>
    </dxf>
    <dxf>
      <font>
        <b/>
        <i val="0"/>
        <color rgb="FFFF0000"/>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KPI!$G$69</c:f>
              <c:strCache>
                <c:ptCount val="1"/>
                <c:pt idx="0">
                  <c:v>Sales Revenue</c:v>
                </c:pt>
              </c:strCache>
            </c:strRef>
          </c:tx>
          <c:spPr>
            <a:solidFill>
              <a:schemeClr val="accent1"/>
            </a:solidFill>
            <a:ln>
              <a:noFill/>
            </a:ln>
            <a:effectLst/>
            <a:sp3d/>
          </c:spPr>
          <c:invertIfNegative val="0"/>
          <c:cat>
            <c:strRef>
              <c:f>KPI!$F$70:$F$74</c:f>
              <c:strCache>
                <c:ptCount val="5"/>
                <c:pt idx="0">
                  <c:v>Cleanser</c:v>
                </c:pt>
                <c:pt idx="1">
                  <c:v>Moisturizer</c:v>
                </c:pt>
                <c:pt idx="2">
                  <c:v>Serum</c:v>
                </c:pt>
                <c:pt idx="3">
                  <c:v>Sunscreen</c:v>
                </c:pt>
                <c:pt idx="4">
                  <c:v>Toner</c:v>
                </c:pt>
              </c:strCache>
            </c:strRef>
          </c:cat>
          <c:val>
            <c:numRef>
              <c:f>KPI!$G$70:$G$74</c:f>
              <c:numCache>
                <c:formatCode>General</c:formatCode>
                <c:ptCount val="5"/>
                <c:pt idx="0">
                  <c:v>2653.75</c:v>
                </c:pt>
                <c:pt idx="1">
                  <c:v>3149</c:v>
                </c:pt>
                <c:pt idx="2">
                  <c:v>5589</c:v>
                </c:pt>
                <c:pt idx="3">
                  <c:v>2829.25</c:v>
                </c:pt>
                <c:pt idx="4">
                  <c:v>2069</c:v>
                </c:pt>
              </c:numCache>
            </c:numRef>
          </c:val>
          <c:extLst>
            <c:ext xmlns:c16="http://schemas.microsoft.com/office/drawing/2014/chart" uri="{C3380CC4-5D6E-409C-BE32-E72D297353CC}">
              <c16:uniqueId val="{00000000-9EED-492E-9F33-F5D648E4C2B2}"/>
            </c:ext>
          </c:extLst>
        </c:ser>
        <c:ser>
          <c:idx val="1"/>
          <c:order val="1"/>
          <c:tx>
            <c:strRef>
              <c:f>KPI!$H$69</c:f>
              <c:strCache>
                <c:ptCount val="1"/>
                <c:pt idx="0">
                  <c:v>Total Costs</c:v>
                </c:pt>
              </c:strCache>
            </c:strRef>
          </c:tx>
          <c:spPr>
            <a:solidFill>
              <a:schemeClr val="accent2"/>
            </a:solidFill>
            <a:ln>
              <a:noFill/>
            </a:ln>
            <a:effectLst/>
            <a:sp3d/>
          </c:spPr>
          <c:invertIfNegative val="0"/>
          <c:cat>
            <c:strRef>
              <c:f>KPI!$F$70:$F$74</c:f>
              <c:strCache>
                <c:ptCount val="5"/>
                <c:pt idx="0">
                  <c:v>Cleanser</c:v>
                </c:pt>
                <c:pt idx="1">
                  <c:v>Moisturizer</c:v>
                </c:pt>
                <c:pt idx="2">
                  <c:v>Serum</c:v>
                </c:pt>
                <c:pt idx="3">
                  <c:v>Sunscreen</c:v>
                </c:pt>
                <c:pt idx="4">
                  <c:v>Toner</c:v>
                </c:pt>
              </c:strCache>
            </c:strRef>
          </c:cat>
          <c:val>
            <c:numRef>
              <c:f>KPI!$H$70:$H$74</c:f>
              <c:numCache>
                <c:formatCode>General</c:formatCode>
                <c:ptCount val="5"/>
                <c:pt idx="0">
                  <c:v>1285</c:v>
                </c:pt>
                <c:pt idx="1">
                  <c:v>1701</c:v>
                </c:pt>
                <c:pt idx="2">
                  <c:v>3419</c:v>
                </c:pt>
                <c:pt idx="3">
                  <c:v>1621</c:v>
                </c:pt>
                <c:pt idx="4">
                  <c:v>1043</c:v>
                </c:pt>
              </c:numCache>
            </c:numRef>
          </c:val>
          <c:extLst>
            <c:ext xmlns:c16="http://schemas.microsoft.com/office/drawing/2014/chart" uri="{C3380CC4-5D6E-409C-BE32-E72D297353CC}">
              <c16:uniqueId val="{00000001-9EED-492E-9F33-F5D648E4C2B2}"/>
            </c:ext>
          </c:extLst>
        </c:ser>
        <c:ser>
          <c:idx val="2"/>
          <c:order val="2"/>
          <c:tx>
            <c:strRef>
              <c:f>KPI!$I$69</c:f>
              <c:strCache>
                <c:ptCount val="1"/>
                <c:pt idx="0">
                  <c:v>Net Profit</c:v>
                </c:pt>
              </c:strCache>
            </c:strRef>
          </c:tx>
          <c:spPr>
            <a:solidFill>
              <a:schemeClr val="accent6"/>
            </a:solidFill>
            <a:ln>
              <a:noFill/>
            </a:ln>
            <a:effectLst/>
            <a:sp3d/>
          </c:spPr>
          <c:invertIfNegative val="0"/>
          <c:cat>
            <c:strRef>
              <c:f>KPI!$F$70:$F$74</c:f>
              <c:strCache>
                <c:ptCount val="5"/>
                <c:pt idx="0">
                  <c:v>Cleanser</c:v>
                </c:pt>
                <c:pt idx="1">
                  <c:v>Moisturizer</c:v>
                </c:pt>
                <c:pt idx="2">
                  <c:v>Serum</c:v>
                </c:pt>
                <c:pt idx="3">
                  <c:v>Sunscreen</c:v>
                </c:pt>
                <c:pt idx="4">
                  <c:v>Toner</c:v>
                </c:pt>
              </c:strCache>
            </c:strRef>
          </c:cat>
          <c:val>
            <c:numRef>
              <c:f>KPI!$I$70:$I$74</c:f>
              <c:numCache>
                <c:formatCode>General</c:formatCode>
                <c:ptCount val="5"/>
                <c:pt idx="0">
                  <c:v>1368.75</c:v>
                </c:pt>
                <c:pt idx="1">
                  <c:v>1448</c:v>
                </c:pt>
                <c:pt idx="2">
                  <c:v>2170</c:v>
                </c:pt>
                <c:pt idx="3">
                  <c:v>1208.25</c:v>
                </c:pt>
                <c:pt idx="4">
                  <c:v>1026</c:v>
                </c:pt>
              </c:numCache>
            </c:numRef>
          </c:val>
          <c:extLst>
            <c:ext xmlns:c16="http://schemas.microsoft.com/office/drawing/2014/chart" uri="{C3380CC4-5D6E-409C-BE32-E72D297353CC}">
              <c16:uniqueId val="{00000002-9EED-492E-9F33-F5D648E4C2B2}"/>
            </c:ext>
          </c:extLst>
        </c:ser>
        <c:dLbls>
          <c:showLegendKey val="0"/>
          <c:showVal val="0"/>
          <c:showCatName val="0"/>
          <c:showSerName val="0"/>
          <c:showPercent val="0"/>
          <c:showBubbleSize val="0"/>
        </c:dLbls>
        <c:gapWidth val="150"/>
        <c:shape val="box"/>
        <c:axId val="393879024"/>
        <c:axId val="393877056"/>
        <c:axId val="0"/>
      </c:bar3DChart>
      <c:catAx>
        <c:axId val="393879024"/>
        <c:scaling>
          <c:orientation val="minMax"/>
        </c:scaling>
        <c:delete val="0"/>
        <c:axPos val="b"/>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0"/>
          <a:lstStyle/>
          <a:p>
            <a:pPr>
              <a:defRPr sz="1000" b="0" i="0" u="none" strike="noStrike" kern="1200" baseline="0">
                <a:solidFill>
                  <a:sysClr val="windowText" lastClr="000000"/>
                </a:solidFill>
                <a:latin typeface="+mn-lt"/>
                <a:ea typeface="+mn-ea"/>
                <a:cs typeface="+mn-cs"/>
              </a:defRPr>
            </a:pPr>
            <a:endParaRPr lang="en-US"/>
          </a:p>
        </c:txPr>
        <c:crossAx val="393877056"/>
        <c:crosses val="autoZero"/>
        <c:auto val="1"/>
        <c:lblAlgn val="ctr"/>
        <c:lblOffset val="100"/>
        <c:noMultiLvlLbl val="0"/>
      </c:catAx>
      <c:valAx>
        <c:axId val="393877056"/>
        <c:scaling>
          <c:orientation val="minMax"/>
        </c:scaling>
        <c:delete val="0"/>
        <c:axPos val="l"/>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393879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KPI!$G$80</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KPI!$F$81:$F$92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KPI!$G$81:$G$92</c:f>
              <c:numCache>
                <c:formatCode>General</c:formatCode>
                <c:ptCount val="12"/>
                <c:pt idx="0">
                  <c:v>833.5</c:v>
                </c:pt>
                <c:pt idx="1">
                  <c:v>895</c:v>
                </c:pt>
                <c:pt idx="2">
                  <c:v>1226.5</c:v>
                </c:pt>
                <c:pt idx="3">
                  <c:v>877.5</c:v>
                </c:pt>
                <c:pt idx="4">
                  <c:v>921.5</c:v>
                </c:pt>
                <c:pt idx="5">
                  <c:v>1127.75</c:v>
                </c:pt>
                <c:pt idx="6">
                  <c:v>2328.5</c:v>
                </c:pt>
                <c:pt idx="7">
                  <c:v>1748.5</c:v>
                </c:pt>
                <c:pt idx="8">
                  <c:v>2078.25</c:v>
                </c:pt>
                <c:pt idx="9">
                  <c:v>2022</c:v>
                </c:pt>
                <c:pt idx="10">
                  <c:v>1162.5</c:v>
                </c:pt>
                <c:pt idx="11">
                  <c:v>1068.5</c:v>
                </c:pt>
              </c:numCache>
            </c:numRef>
          </c:val>
          <c:smooth val="0"/>
          <c:extLst>
            <c:ext xmlns:c16="http://schemas.microsoft.com/office/drawing/2014/chart" uri="{C3380CC4-5D6E-409C-BE32-E72D297353CC}">
              <c16:uniqueId val="{00000000-554D-49EC-A0A2-EE3AB2C6116E}"/>
            </c:ext>
          </c:extLst>
        </c:ser>
        <c:ser>
          <c:idx val="1"/>
          <c:order val="1"/>
          <c:tx>
            <c:strRef>
              <c:f>KPI!$H$80</c:f>
              <c:strCache>
                <c:ptCount val="1"/>
                <c:pt idx="0">
                  <c:v>Total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KPI!$F$81:$F$92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KPI!$H$81:$H$92</c:f>
              <c:numCache>
                <c:formatCode>General</c:formatCode>
                <c:ptCount val="12"/>
                <c:pt idx="0">
                  <c:v>462</c:v>
                </c:pt>
                <c:pt idx="1">
                  <c:v>489</c:v>
                </c:pt>
                <c:pt idx="2">
                  <c:v>670</c:v>
                </c:pt>
                <c:pt idx="3">
                  <c:v>498</c:v>
                </c:pt>
                <c:pt idx="4">
                  <c:v>524</c:v>
                </c:pt>
                <c:pt idx="5">
                  <c:v>623</c:v>
                </c:pt>
                <c:pt idx="6">
                  <c:v>1305</c:v>
                </c:pt>
                <c:pt idx="7">
                  <c:v>969</c:v>
                </c:pt>
                <c:pt idx="8">
                  <c:v>1153</c:v>
                </c:pt>
                <c:pt idx="9">
                  <c:v>1128</c:v>
                </c:pt>
                <c:pt idx="10">
                  <c:v>658</c:v>
                </c:pt>
                <c:pt idx="11">
                  <c:v>590</c:v>
                </c:pt>
              </c:numCache>
            </c:numRef>
          </c:val>
          <c:smooth val="0"/>
          <c:extLst>
            <c:ext xmlns:c16="http://schemas.microsoft.com/office/drawing/2014/chart" uri="{C3380CC4-5D6E-409C-BE32-E72D297353CC}">
              <c16:uniqueId val="{00000001-554D-49EC-A0A2-EE3AB2C6116E}"/>
            </c:ext>
          </c:extLst>
        </c:ser>
        <c:ser>
          <c:idx val="2"/>
          <c:order val="2"/>
          <c:tx>
            <c:strRef>
              <c:f>KPI!$I$80</c:f>
              <c:strCache>
                <c:ptCount val="1"/>
                <c:pt idx="0">
                  <c:v>Net Profit</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KPI!$F$81:$F$92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KPI!$I$81:$I$92</c:f>
              <c:numCache>
                <c:formatCode>General</c:formatCode>
                <c:ptCount val="12"/>
                <c:pt idx="0">
                  <c:v>371.5</c:v>
                </c:pt>
                <c:pt idx="1">
                  <c:v>406</c:v>
                </c:pt>
                <c:pt idx="2">
                  <c:v>556.5</c:v>
                </c:pt>
                <c:pt idx="3">
                  <c:v>379.5</c:v>
                </c:pt>
                <c:pt idx="4">
                  <c:v>397.5</c:v>
                </c:pt>
                <c:pt idx="5">
                  <c:v>504.75</c:v>
                </c:pt>
                <c:pt idx="6">
                  <c:v>1023.5</c:v>
                </c:pt>
                <c:pt idx="7">
                  <c:v>779.5</c:v>
                </c:pt>
                <c:pt idx="8">
                  <c:v>925.25</c:v>
                </c:pt>
                <c:pt idx="9">
                  <c:v>894</c:v>
                </c:pt>
                <c:pt idx="10">
                  <c:v>504.5</c:v>
                </c:pt>
                <c:pt idx="11">
                  <c:v>478.5</c:v>
                </c:pt>
              </c:numCache>
            </c:numRef>
          </c:val>
          <c:smooth val="0"/>
          <c:extLst>
            <c:ext xmlns:c16="http://schemas.microsoft.com/office/drawing/2014/chart" uri="{C3380CC4-5D6E-409C-BE32-E72D297353CC}">
              <c16:uniqueId val="{00000002-554D-49EC-A0A2-EE3AB2C6116E}"/>
            </c:ext>
          </c:extLst>
        </c:ser>
        <c:dLbls>
          <c:showLegendKey val="0"/>
          <c:showVal val="0"/>
          <c:showCatName val="0"/>
          <c:showSerName val="0"/>
          <c:showPercent val="0"/>
          <c:showBubbleSize val="0"/>
        </c:dLbls>
        <c:marker val="1"/>
        <c:smooth val="0"/>
        <c:axId val="550547088"/>
        <c:axId val="550547744"/>
      </c:lineChart>
      <c:catAx>
        <c:axId val="550547088"/>
        <c:scaling>
          <c:orientation val="minMax"/>
        </c:scaling>
        <c:delete val="0"/>
        <c:axPos val="b"/>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0547744"/>
        <c:crosses val="autoZero"/>
        <c:auto val="1"/>
        <c:lblAlgn val="ctr"/>
        <c:lblOffset val="100"/>
        <c:noMultiLvlLbl val="0"/>
      </c:catAx>
      <c:valAx>
        <c:axId val="550547744"/>
        <c:scaling>
          <c:orientation val="minMax"/>
        </c:scaling>
        <c:delete val="0"/>
        <c:axPos val="l"/>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0547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KPI!$E$120</c:f>
              <c:strCache>
                <c:ptCount val="1"/>
                <c:pt idx="0">
                  <c:v>Sales Revenue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KPI!$D$121:$D$126</c:f>
              <c:strCache>
                <c:ptCount val="6"/>
                <c:pt idx="0">
                  <c:v>Official Website</c:v>
                </c:pt>
                <c:pt idx="1">
                  <c:v>Shopee</c:v>
                </c:pt>
                <c:pt idx="2">
                  <c:v>Retail Store</c:v>
                </c:pt>
                <c:pt idx="3">
                  <c:v>TikTok Shop</c:v>
                </c:pt>
                <c:pt idx="4">
                  <c:v>Pharmacy Chain</c:v>
                </c:pt>
                <c:pt idx="5">
                  <c:v>Beauty Store</c:v>
                </c:pt>
              </c:strCache>
            </c:strRef>
          </c:cat>
          <c:val>
            <c:numRef>
              <c:f>KPI!$E$121:$E$126</c:f>
              <c:numCache>
                <c:formatCode>0.00%</c:formatCode>
                <c:ptCount val="6"/>
                <c:pt idx="0">
                  <c:v>0.3996777163904236</c:v>
                </c:pt>
                <c:pt idx="1">
                  <c:v>0.19367710251688153</c:v>
                </c:pt>
                <c:pt idx="2">
                  <c:v>0.13941068139963167</c:v>
                </c:pt>
                <c:pt idx="3">
                  <c:v>0.10733578882750154</c:v>
                </c:pt>
                <c:pt idx="4">
                  <c:v>0.10604665438919583</c:v>
                </c:pt>
                <c:pt idx="5">
                  <c:v>5.3852056476365866E-2</c:v>
                </c:pt>
              </c:numCache>
            </c:numRef>
          </c:val>
          <c:extLst>
            <c:ext xmlns:c16="http://schemas.microsoft.com/office/drawing/2014/chart" uri="{C3380CC4-5D6E-409C-BE32-E72D297353CC}">
              <c16:uniqueId val="{00000000-3820-409D-99DA-40F0F6662647}"/>
            </c:ext>
          </c:extLst>
        </c:ser>
        <c:dLbls>
          <c:dLblPos val="outEnd"/>
          <c:showLegendKey val="0"/>
          <c:showVal val="1"/>
          <c:showCatName val="0"/>
          <c:showSerName val="0"/>
          <c:showPercent val="0"/>
          <c:showBubbleSize val="0"/>
        </c:dLbls>
        <c:gapWidth val="75"/>
        <c:axId val="536051584"/>
        <c:axId val="536047648"/>
      </c:barChart>
      <c:catAx>
        <c:axId val="53605158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36047648"/>
        <c:crosses val="autoZero"/>
        <c:auto val="1"/>
        <c:lblAlgn val="ctr"/>
        <c:lblOffset val="100"/>
        <c:noMultiLvlLbl val="0"/>
      </c:catAx>
      <c:valAx>
        <c:axId val="536047648"/>
        <c:scaling>
          <c:orientation val="minMax"/>
        </c:scaling>
        <c:delete val="1"/>
        <c:axPos val="b"/>
        <c:numFmt formatCode="0.00%" sourceLinked="1"/>
        <c:majorTickMark val="out"/>
        <c:minorTickMark val="none"/>
        <c:tickLblPos val="nextTo"/>
        <c:crossAx val="5360515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KPI!$E$98</c:f>
              <c:strCache>
                <c:ptCount val="1"/>
                <c:pt idx="0">
                  <c:v>Sales Revenue</c:v>
                </c:pt>
              </c:strCache>
            </c:strRef>
          </c:tx>
          <c:spPr>
            <a:solidFill>
              <a:schemeClr val="accent1"/>
            </a:solidFill>
            <a:ln>
              <a:noFill/>
            </a:ln>
            <a:effectLst/>
            <a:sp3d/>
          </c:spPr>
          <c:invertIfNegative val="0"/>
          <c:dLbls>
            <c:spPr>
              <a:noFill/>
              <a:ln>
                <a:noFill/>
              </a:ln>
              <a:effectLst/>
            </c:spPr>
            <c:txPr>
              <a:bodyPr rot="0" spcFirstLastPara="1" vertOverflow="overflow" horzOverflow="overflow" vert="horz" wrap="none" lIns="38100" tIns="19050" rIns="38100" bIns="19050" anchor="ctr" anchorCtr="0">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LeaderLines val="0"/>
              </c:ext>
            </c:extLst>
          </c:dLbls>
          <c:cat>
            <c:strRef>
              <c:f>KPI!$D$99:$D$105</c:f>
              <c:strCache>
                <c:ptCount val="7"/>
                <c:pt idx="0">
                  <c:v>Sun</c:v>
                </c:pt>
                <c:pt idx="1">
                  <c:v>Mon</c:v>
                </c:pt>
                <c:pt idx="2">
                  <c:v>Tue</c:v>
                </c:pt>
                <c:pt idx="3">
                  <c:v>Wed</c:v>
                </c:pt>
                <c:pt idx="4">
                  <c:v>Thu</c:v>
                </c:pt>
                <c:pt idx="5">
                  <c:v>Fri</c:v>
                </c:pt>
                <c:pt idx="6">
                  <c:v>Sat</c:v>
                </c:pt>
              </c:strCache>
            </c:strRef>
          </c:cat>
          <c:val>
            <c:numRef>
              <c:f>KPI!$E$99:$E$105</c:f>
              <c:numCache>
                <c:formatCode>General</c:formatCode>
                <c:ptCount val="7"/>
                <c:pt idx="0">
                  <c:v>2561.5</c:v>
                </c:pt>
                <c:pt idx="1">
                  <c:v>2623.25</c:v>
                </c:pt>
                <c:pt idx="2">
                  <c:v>2031.5</c:v>
                </c:pt>
                <c:pt idx="3">
                  <c:v>2499.25</c:v>
                </c:pt>
                <c:pt idx="4">
                  <c:v>2535.75</c:v>
                </c:pt>
                <c:pt idx="5">
                  <c:v>2162.75</c:v>
                </c:pt>
                <c:pt idx="6">
                  <c:v>1876</c:v>
                </c:pt>
              </c:numCache>
            </c:numRef>
          </c:val>
          <c:extLst>
            <c:ext xmlns:c16="http://schemas.microsoft.com/office/drawing/2014/chart" uri="{C3380CC4-5D6E-409C-BE32-E72D297353CC}">
              <c16:uniqueId val="{00000000-3A4A-42D5-B498-E3C1F45A6C28}"/>
            </c:ext>
          </c:extLst>
        </c:ser>
        <c:dLbls>
          <c:showLegendKey val="0"/>
          <c:showVal val="1"/>
          <c:showCatName val="0"/>
          <c:showSerName val="0"/>
          <c:showPercent val="0"/>
          <c:showBubbleSize val="0"/>
        </c:dLbls>
        <c:gapWidth val="150"/>
        <c:shape val="box"/>
        <c:axId val="550549056"/>
        <c:axId val="550545448"/>
        <c:axId val="0"/>
      </c:bar3DChart>
      <c:catAx>
        <c:axId val="550549056"/>
        <c:scaling>
          <c:orientation val="minMax"/>
        </c:scaling>
        <c:delete val="0"/>
        <c:axPos val="b"/>
        <c:numFmt formatCode="General" sourceLinked="1"/>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0545448"/>
        <c:crosses val="autoZero"/>
        <c:auto val="1"/>
        <c:lblAlgn val="ctr"/>
        <c:lblOffset val="100"/>
        <c:noMultiLvlLbl val="0"/>
      </c:catAx>
      <c:valAx>
        <c:axId val="550545448"/>
        <c:scaling>
          <c:orientation val="minMax"/>
        </c:scaling>
        <c:delete val="1"/>
        <c:axPos val="l"/>
        <c:numFmt formatCode="General" sourceLinked="1"/>
        <c:majorTickMark val="out"/>
        <c:minorTickMark val="none"/>
        <c:tickLblPos val="nextTo"/>
        <c:crossAx val="5505490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KPI!$E$111</c:f>
              <c:strCache>
                <c:ptCount val="1"/>
                <c:pt idx="0">
                  <c:v>Total </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DD2C-453D-A119-197529F8E8E2}"/>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DD2C-453D-A119-197529F8E8E2}"/>
              </c:ext>
            </c:extLst>
          </c:dPt>
          <c:dPt>
            <c:idx val="2"/>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DD2C-453D-A119-197529F8E8E2}"/>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DD2C-453D-A119-197529F8E8E2}"/>
                </c:ext>
              </c:extLst>
            </c:dLbl>
            <c:dLbl>
              <c:idx val="1"/>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DD2C-453D-A119-197529F8E8E2}"/>
                </c:ext>
              </c:extLst>
            </c:dLbl>
            <c:dLbl>
              <c:idx val="2"/>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DD2C-453D-A119-197529F8E8E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KPI!$D$112:$D$114</c:f>
              <c:strCache>
                <c:ptCount val="3"/>
                <c:pt idx="0">
                  <c:v>Bank Transfer</c:v>
                </c:pt>
                <c:pt idx="1">
                  <c:v>Credit Card</c:v>
                </c:pt>
                <c:pt idx="2">
                  <c:v>E-Wallet</c:v>
                </c:pt>
              </c:strCache>
            </c:strRef>
          </c:cat>
          <c:val>
            <c:numRef>
              <c:f>KPI!$E$112:$E$114</c:f>
              <c:numCache>
                <c:formatCode>General</c:formatCode>
                <c:ptCount val="3"/>
                <c:pt idx="0">
                  <c:v>300</c:v>
                </c:pt>
                <c:pt idx="1">
                  <c:v>205</c:v>
                </c:pt>
                <c:pt idx="2">
                  <c:v>495</c:v>
                </c:pt>
              </c:numCache>
            </c:numRef>
          </c:val>
          <c:extLst>
            <c:ext xmlns:c16="http://schemas.microsoft.com/office/drawing/2014/chart" uri="{C3380CC4-5D6E-409C-BE32-E72D297353CC}">
              <c16:uniqueId val="{00000006-DD2C-453D-A119-197529F8E8E2}"/>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gradFill>
                <a:gsLst>
                  <a:gs pos="0">
                    <a:schemeClr val="accent6"/>
                  </a:gs>
                  <a:gs pos="100000">
                    <a:schemeClr val="accent6">
                      <a:lumMod val="75000"/>
                    </a:schemeClr>
                  </a:gs>
                </a:gsLst>
                <a:lin ang="5400000" scaled="1"/>
              </a:gradFill>
              <a:ln w="19050">
                <a:noFill/>
              </a:ln>
              <a:effectLst/>
            </c:spPr>
            <c:extLst>
              <c:ext xmlns:c16="http://schemas.microsoft.com/office/drawing/2014/chart" uri="{C3380CC4-5D6E-409C-BE32-E72D297353CC}">
                <c16:uniqueId val="{00000001-7316-4704-91F5-01309B3D9871}"/>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7316-4704-91F5-01309B3D9871}"/>
              </c:ext>
            </c:extLst>
          </c:dPt>
          <c:val>
            <c:numRef>
              <c:f>KPI!$G$10:$G$11</c:f>
              <c:numCache>
                <c:formatCode>0%</c:formatCode>
                <c:ptCount val="2"/>
                <c:pt idx="0">
                  <c:v>0.84699999999999998</c:v>
                </c:pt>
                <c:pt idx="1">
                  <c:v>0.153</c:v>
                </c:pt>
              </c:numCache>
            </c:numRef>
          </c:val>
          <c:extLst>
            <c:ext xmlns:c16="http://schemas.microsoft.com/office/drawing/2014/chart" uri="{C3380CC4-5D6E-409C-BE32-E72D297353CC}">
              <c16:uniqueId val="{00000004-7316-4704-91F5-01309B3D987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a:gsLst>
                  <a:gs pos="7100">
                    <a:srgbClr val="76A743"/>
                  </a:gs>
                  <a:gs pos="0">
                    <a:schemeClr val="accent6"/>
                  </a:gs>
                  <a:gs pos="100000">
                    <a:schemeClr val="accent6">
                      <a:lumMod val="75000"/>
                    </a:schemeClr>
                  </a:gs>
                </a:gsLst>
                <a:lin ang="5400000" scaled="1"/>
              </a:gradFill>
              <a:ln w="19050">
                <a:noFill/>
              </a:ln>
              <a:effectLst/>
            </c:spPr>
            <c:extLst>
              <c:ext xmlns:c16="http://schemas.microsoft.com/office/drawing/2014/chart" uri="{C3380CC4-5D6E-409C-BE32-E72D297353CC}">
                <c16:uniqueId val="{00000001-A2B2-4A95-9D74-DF9372FF6FB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2B2-4A95-9D74-DF9372FF6FB3}"/>
              </c:ext>
            </c:extLst>
          </c:dPt>
          <c:val>
            <c:numRef>
              <c:f>KPI!$G$14:$G$15</c:f>
              <c:numCache>
                <c:formatCode>0%</c:formatCode>
                <c:ptCount val="2"/>
                <c:pt idx="0">
                  <c:v>0.153</c:v>
                </c:pt>
                <c:pt idx="1">
                  <c:v>0.84699999999999998</c:v>
                </c:pt>
              </c:numCache>
            </c:numRef>
          </c:val>
          <c:extLst>
            <c:ext xmlns:c16="http://schemas.microsoft.com/office/drawing/2014/chart" uri="{C3380CC4-5D6E-409C-BE32-E72D297353CC}">
              <c16:uniqueId val="{00000004-A2B2-4A95-9D74-DF9372FF6FB3}"/>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Sales Form'!A1"/><Relationship Id="rId17" Type="http://schemas.openxmlformats.org/officeDocument/2006/relationships/image" Target="../media/image7.png"/><Relationship Id="rId2" Type="http://schemas.openxmlformats.org/officeDocument/2006/relationships/chart" Target="../charts/chart2.xml"/><Relationship Id="rId16" Type="http://schemas.openxmlformats.org/officeDocument/2006/relationships/hyperlink" Target="#'Skincare Sales'!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png"/><Relationship Id="rId5" Type="http://schemas.openxmlformats.org/officeDocument/2006/relationships/chart" Target="../charts/chart5.xml"/><Relationship Id="rId15" Type="http://schemas.openxmlformats.org/officeDocument/2006/relationships/image" Target="../media/image6.png"/><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2</xdr:col>
      <xdr:colOff>564097</xdr:colOff>
      <xdr:row>14</xdr:row>
      <xdr:rowOff>3318</xdr:rowOff>
    </xdr:from>
    <xdr:to>
      <xdr:col>10</xdr:col>
      <xdr:colOff>202114</xdr:colOff>
      <xdr:row>28</xdr:row>
      <xdr:rowOff>36318</xdr:rowOff>
    </xdr:to>
    <xdr:sp macro="" textlink="">
      <xdr:nvSpPr>
        <xdr:cNvPr id="25" name="Rounded Rectangle 24"/>
        <xdr:cNvSpPr/>
      </xdr:nvSpPr>
      <xdr:spPr>
        <a:xfrm>
          <a:off x="1778535" y="2670318"/>
          <a:ext cx="4495767"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43571</xdr:colOff>
      <xdr:row>14</xdr:row>
      <xdr:rowOff>183318</xdr:rowOff>
    </xdr:from>
    <xdr:to>
      <xdr:col>10</xdr:col>
      <xdr:colOff>115421</xdr:colOff>
      <xdr:row>28</xdr:row>
      <xdr:rowOff>36318</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408893</xdr:colOff>
      <xdr:row>14</xdr:row>
      <xdr:rowOff>1659</xdr:rowOff>
    </xdr:from>
    <xdr:to>
      <xdr:col>18</xdr:col>
      <xdr:colOff>53865</xdr:colOff>
      <xdr:row>28</xdr:row>
      <xdr:rowOff>34659</xdr:rowOff>
    </xdr:to>
    <xdr:sp macro="" textlink="">
      <xdr:nvSpPr>
        <xdr:cNvPr id="27" name="Rounded Rectangle 26"/>
        <xdr:cNvSpPr/>
      </xdr:nvSpPr>
      <xdr:spPr>
        <a:xfrm>
          <a:off x="6481081" y="2668659"/>
          <a:ext cx="4502722"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499064</xdr:colOff>
      <xdr:row>14</xdr:row>
      <xdr:rowOff>183318</xdr:rowOff>
    </xdr:from>
    <xdr:to>
      <xdr:col>17</xdr:col>
      <xdr:colOff>570914</xdr:colOff>
      <xdr:row>28</xdr:row>
      <xdr:rowOff>36318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560789</xdr:colOff>
      <xdr:row>28</xdr:row>
      <xdr:rowOff>156440</xdr:rowOff>
    </xdr:from>
    <xdr:to>
      <xdr:col>10</xdr:col>
      <xdr:colOff>205421</xdr:colOff>
      <xdr:row>42</xdr:row>
      <xdr:rowOff>189440</xdr:rowOff>
    </xdr:to>
    <xdr:sp macro="" textlink="">
      <xdr:nvSpPr>
        <xdr:cNvPr id="29" name="Rounded Rectangle 28"/>
        <xdr:cNvSpPr/>
      </xdr:nvSpPr>
      <xdr:spPr>
        <a:xfrm>
          <a:off x="1775227" y="5490440"/>
          <a:ext cx="4502382"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408893</xdr:colOff>
      <xdr:row>28</xdr:row>
      <xdr:rowOff>156440</xdr:rowOff>
    </xdr:from>
    <xdr:to>
      <xdr:col>18</xdr:col>
      <xdr:colOff>53865</xdr:colOff>
      <xdr:row>42</xdr:row>
      <xdr:rowOff>189440</xdr:rowOff>
    </xdr:to>
    <xdr:sp macro="" textlink="">
      <xdr:nvSpPr>
        <xdr:cNvPr id="30" name="Rounded Rectangle 29"/>
        <xdr:cNvSpPr/>
      </xdr:nvSpPr>
      <xdr:spPr>
        <a:xfrm>
          <a:off x="6481081" y="5490440"/>
          <a:ext cx="4502722"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202301</xdr:colOff>
      <xdr:row>14</xdr:row>
      <xdr:rowOff>1659</xdr:rowOff>
    </xdr:from>
    <xdr:to>
      <xdr:col>25</xdr:col>
      <xdr:colOff>274151</xdr:colOff>
      <xdr:row>28</xdr:row>
      <xdr:rowOff>34659</xdr:rowOff>
    </xdr:to>
    <xdr:sp macro="" textlink="">
      <xdr:nvSpPr>
        <xdr:cNvPr id="31" name="Rounded Rectangle 30"/>
        <xdr:cNvSpPr/>
      </xdr:nvSpPr>
      <xdr:spPr>
        <a:xfrm>
          <a:off x="11251301" y="2668659"/>
          <a:ext cx="4368683"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499064</xdr:colOff>
      <xdr:row>29</xdr:row>
      <xdr:rowOff>145940</xdr:rowOff>
    </xdr:from>
    <xdr:to>
      <xdr:col>17</xdr:col>
      <xdr:colOff>570914</xdr:colOff>
      <xdr:row>42</xdr:row>
      <xdr:rowOff>189440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218122</xdr:colOff>
      <xdr:row>28</xdr:row>
      <xdr:rowOff>156440</xdr:rowOff>
    </xdr:from>
    <xdr:to>
      <xdr:col>25</xdr:col>
      <xdr:colOff>289972</xdr:colOff>
      <xdr:row>42</xdr:row>
      <xdr:rowOff>189440</xdr:rowOff>
    </xdr:to>
    <xdr:sp macro="" textlink="">
      <xdr:nvSpPr>
        <xdr:cNvPr id="33" name="Rounded Rectangle 32"/>
        <xdr:cNvSpPr/>
      </xdr:nvSpPr>
      <xdr:spPr>
        <a:xfrm>
          <a:off x="11148060" y="3966440"/>
          <a:ext cx="4322381" cy="270000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201138</xdr:colOff>
      <xdr:row>14</xdr:row>
      <xdr:rowOff>183318</xdr:rowOff>
    </xdr:from>
    <xdr:to>
      <xdr:col>25</xdr:col>
      <xdr:colOff>272988</xdr:colOff>
      <xdr:row>28</xdr:row>
      <xdr:rowOff>36318</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218122</xdr:colOff>
      <xdr:row>29</xdr:row>
      <xdr:rowOff>145940</xdr:rowOff>
    </xdr:from>
    <xdr:to>
      <xdr:col>25</xdr:col>
      <xdr:colOff>289972</xdr:colOff>
      <xdr:row>42</xdr:row>
      <xdr:rowOff>189440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238125</xdr:colOff>
      <xdr:row>31</xdr:row>
      <xdr:rowOff>34940</xdr:rowOff>
    </xdr:from>
    <xdr:to>
      <xdr:col>6</xdr:col>
      <xdr:colOff>217490</xdr:colOff>
      <xdr:row>40</xdr:row>
      <xdr:rowOff>120440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29936</xdr:colOff>
      <xdr:row>31</xdr:row>
      <xdr:rowOff>34940</xdr:rowOff>
    </xdr:from>
    <xdr:to>
      <xdr:col>10</xdr:col>
      <xdr:colOff>6579</xdr:colOff>
      <xdr:row>40</xdr:row>
      <xdr:rowOff>120440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8</xdr:col>
      <xdr:colOff>6372</xdr:colOff>
      <xdr:row>34</xdr:row>
      <xdr:rowOff>160724</xdr:rowOff>
    </xdr:from>
    <xdr:ext cx="242631" cy="405432"/>
    <xdr:sp macro="" textlink="$J$28">
      <xdr:nvSpPr>
        <xdr:cNvPr id="39" name="TextBox 38"/>
        <xdr:cNvSpPr txBox="1"/>
      </xdr:nvSpPr>
      <xdr:spPr>
        <a:xfrm>
          <a:off x="3054372" y="4161224"/>
          <a:ext cx="24263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E3871DD-912A-41CA-BC9D-5E5867F1C219}" type="TxLink">
            <a:rPr lang="en-US" sz="2000" b="1" i="0" u="none" strike="noStrike">
              <a:solidFill>
                <a:srgbClr val="000000"/>
              </a:solidFill>
              <a:latin typeface="Calibri"/>
              <a:cs typeface="Calibri"/>
            </a:rPr>
            <a:pPr/>
            <a:t> </a:t>
          </a:fld>
          <a:endParaRPr lang="en-US" sz="2000" b="1"/>
        </a:p>
      </xdr:txBody>
    </xdr:sp>
    <xdr:clientData/>
  </xdr:oneCellAnchor>
  <xdr:oneCellAnchor>
    <xdr:from>
      <xdr:col>5</xdr:col>
      <xdr:colOff>280002</xdr:colOff>
      <xdr:row>28</xdr:row>
      <xdr:rowOff>156440</xdr:rowOff>
    </xdr:from>
    <xdr:ext cx="1420645" cy="311496"/>
    <xdr:sp macro="" textlink="">
      <xdr:nvSpPr>
        <xdr:cNvPr id="40" name="TextBox 39"/>
        <xdr:cNvSpPr txBox="1"/>
      </xdr:nvSpPr>
      <xdr:spPr>
        <a:xfrm>
          <a:off x="3316096" y="5490440"/>
          <a:ext cx="142064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400" b="1"/>
            <a:t>Orders by Status</a:t>
          </a:r>
          <a:endParaRPr lang="en-US" sz="1400" b="1"/>
        </a:p>
      </xdr:txBody>
    </xdr:sp>
    <xdr:clientData/>
  </xdr:oneCellAnchor>
  <xdr:oneCellAnchor>
    <xdr:from>
      <xdr:col>4</xdr:col>
      <xdr:colOff>59419</xdr:colOff>
      <xdr:row>40</xdr:row>
      <xdr:rowOff>33337</xdr:rowOff>
    </xdr:from>
    <xdr:ext cx="943656" cy="295850"/>
    <xdr:sp macro="" textlink="">
      <xdr:nvSpPr>
        <xdr:cNvPr id="41" name="TextBox 40"/>
        <xdr:cNvSpPr txBox="1"/>
      </xdr:nvSpPr>
      <xdr:spPr>
        <a:xfrm>
          <a:off x="669019" y="4986337"/>
          <a:ext cx="943656"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300" b="1"/>
            <a:t>Completed</a:t>
          </a:r>
          <a:endParaRPr lang="en-US" sz="1300" b="1"/>
        </a:p>
      </xdr:txBody>
    </xdr:sp>
    <xdr:clientData/>
  </xdr:oneCellAnchor>
  <xdr:oneCellAnchor>
    <xdr:from>
      <xdr:col>7</xdr:col>
      <xdr:colOff>514054</xdr:colOff>
      <xdr:row>40</xdr:row>
      <xdr:rowOff>33337</xdr:rowOff>
    </xdr:from>
    <xdr:ext cx="831766" cy="295850"/>
    <xdr:sp macro="" textlink="">
      <xdr:nvSpPr>
        <xdr:cNvPr id="42" name="TextBox 41"/>
        <xdr:cNvSpPr txBox="1"/>
      </xdr:nvSpPr>
      <xdr:spPr>
        <a:xfrm>
          <a:off x="2952454" y="4986337"/>
          <a:ext cx="831766"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300" b="1"/>
            <a:t>Returned</a:t>
          </a:r>
          <a:endParaRPr lang="en-US" sz="1300" b="1"/>
        </a:p>
      </xdr:txBody>
    </xdr:sp>
    <xdr:clientData/>
  </xdr:oneCellAnchor>
  <xdr:oneCellAnchor>
    <xdr:from>
      <xdr:col>18</xdr:col>
      <xdr:colOff>601870</xdr:colOff>
      <xdr:row>28</xdr:row>
      <xdr:rowOff>156440</xdr:rowOff>
    </xdr:from>
    <xdr:ext cx="3554884" cy="311496"/>
    <xdr:sp macro="" textlink="">
      <xdr:nvSpPr>
        <xdr:cNvPr id="43" name="TextBox 42"/>
        <xdr:cNvSpPr txBox="1"/>
      </xdr:nvSpPr>
      <xdr:spPr>
        <a:xfrm>
          <a:off x="11531808" y="3966440"/>
          <a:ext cx="355488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1">
              <a:solidFill>
                <a:sysClr val="windowText" lastClr="000000"/>
              </a:solidFill>
            </a:rPr>
            <a:t>Transaction Distribution by Payment Method</a:t>
          </a:r>
        </a:p>
      </xdr:txBody>
    </xdr:sp>
    <xdr:clientData/>
  </xdr:oneCellAnchor>
  <xdr:oneCellAnchor>
    <xdr:from>
      <xdr:col>11</xdr:col>
      <xdr:colOff>300698</xdr:colOff>
      <xdr:row>28</xdr:row>
      <xdr:rowOff>156440</xdr:rowOff>
    </xdr:from>
    <xdr:ext cx="3504677" cy="311496"/>
    <xdr:sp macro="" textlink="">
      <xdr:nvSpPr>
        <xdr:cNvPr id="44" name="TextBox 43"/>
        <xdr:cNvSpPr txBox="1"/>
      </xdr:nvSpPr>
      <xdr:spPr>
        <a:xfrm>
          <a:off x="6980104" y="3966440"/>
          <a:ext cx="35046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Sales Revenue Distribution by Sales Location</a:t>
          </a:r>
          <a:endParaRPr lang="en-US" sz="1400" b="1">
            <a:effectLst/>
          </a:endParaRPr>
        </a:p>
      </xdr:txBody>
    </xdr:sp>
    <xdr:clientData/>
  </xdr:oneCellAnchor>
  <xdr:oneCellAnchor>
    <xdr:from>
      <xdr:col>19</xdr:col>
      <xdr:colOff>376079</xdr:colOff>
      <xdr:row>14</xdr:row>
      <xdr:rowOff>1659</xdr:rowOff>
    </xdr:from>
    <xdr:ext cx="2758063" cy="311496"/>
    <xdr:sp macro="" textlink="">
      <xdr:nvSpPr>
        <xdr:cNvPr id="45" name="TextBox 44"/>
        <xdr:cNvSpPr txBox="1"/>
      </xdr:nvSpPr>
      <xdr:spPr>
        <a:xfrm>
          <a:off x="11913235" y="1144659"/>
          <a:ext cx="275806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Sales Revenue by Day of the Week</a:t>
          </a:r>
          <a:endParaRPr lang="en-US" sz="1400">
            <a:effectLst/>
          </a:endParaRPr>
        </a:p>
      </xdr:txBody>
    </xdr:sp>
    <xdr:clientData/>
  </xdr:oneCellAnchor>
  <xdr:oneCellAnchor>
    <xdr:from>
      <xdr:col>11</xdr:col>
      <xdr:colOff>537750</xdr:colOff>
      <xdr:row>14</xdr:row>
      <xdr:rowOff>1659</xdr:rowOff>
    </xdr:from>
    <xdr:ext cx="3030573" cy="311496"/>
    <xdr:sp macro="" textlink="">
      <xdr:nvSpPr>
        <xdr:cNvPr id="46" name="TextBox 45"/>
        <xdr:cNvSpPr txBox="1"/>
      </xdr:nvSpPr>
      <xdr:spPr>
        <a:xfrm>
          <a:off x="7217156" y="1144659"/>
          <a:ext cx="303057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Monthly Sales, Costs, and Profit Trend</a:t>
          </a:r>
          <a:endParaRPr lang="en-US" sz="1400">
            <a:effectLst/>
          </a:endParaRPr>
        </a:p>
      </xdr:txBody>
    </xdr:sp>
    <xdr:clientData/>
  </xdr:oneCellAnchor>
  <xdr:oneCellAnchor>
    <xdr:from>
      <xdr:col>3</xdr:col>
      <xdr:colOff>476629</xdr:colOff>
      <xdr:row>14</xdr:row>
      <xdr:rowOff>1659</xdr:rowOff>
    </xdr:from>
    <xdr:ext cx="3456267" cy="311496"/>
    <xdr:sp macro="" textlink="">
      <xdr:nvSpPr>
        <xdr:cNvPr id="47" name="TextBox 46"/>
        <xdr:cNvSpPr txBox="1"/>
      </xdr:nvSpPr>
      <xdr:spPr>
        <a:xfrm>
          <a:off x="2298285" y="2668659"/>
          <a:ext cx="345626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Sales, Costs, and Profit Analysis by Category</a:t>
          </a:r>
          <a:endParaRPr lang="en-US" sz="1400">
            <a:effectLst/>
          </a:endParaRPr>
        </a:p>
      </xdr:txBody>
    </xdr:sp>
    <xdr:clientData/>
  </xdr:oneCellAnchor>
  <xdr:oneCellAnchor>
    <xdr:from>
      <xdr:col>4</xdr:col>
      <xdr:colOff>172092</xdr:colOff>
      <xdr:row>34</xdr:row>
      <xdr:rowOff>129433</xdr:rowOff>
    </xdr:from>
    <xdr:ext cx="721031" cy="468013"/>
    <xdr:sp macro="" textlink="KPI!$G$10">
      <xdr:nvSpPr>
        <xdr:cNvPr id="48" name="TextBox 47"/>
        <xdr:cNvSpPr txBox="1"/>
      </xdr:nvSpPr>
      <xdr:spPr>
        <a:xfrm>
          <a:off x="781692" y="3939433"/>
          <a:ext cx="72103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5EFFC437-6C88-46BF-9659-D5116C39DDE4}" type="TxLink">
            <a:rPr lang="en-US" sz="2400" b="1" i="0" u="none" strike="noStrike">
              <a:solidFill>
                <a:srgbClr val="000000"/>
              </a:solidFill>
              <a:latin typeface="Calibri"/>
              <a:cs typeface="Calibri"/>
            </a:rPr>
            <a:pPr algn="ctr"/>
            <a:t>85%</a:t>
          </a:fld>
          <a:endParaRPr lang="en-US" sz="2400" b="1"/>
        </a:p>
      </xdr:txBody>
    </xdr:sp>
    <xdr:clientData/>
  </xdr:oneCellAnchor>
  <xdr:oneCellAnchor>
    <xdr:from>
      <xdr:col>7</xdr:col>
      <xdr:colOff>572142</xdr:colOff>
      <xdr:row>34</xdr:row>
      <xdr:rowOff>129433</xdr:rowOff>
    </xdr:from>
    <xdr:ext cx="721031" cy="468013"/>
    <xdr:sp macro="" textlink="KPI!$G$14">
      <xdr:nvSpPr>
        <xdr:cNvPr id="49" name="TextBox 48"/>
        <xdr:cNvSpPr txBox="1"/>
      </xdr:nvSpPr>
      <xdr:spPr>
        <a:xfrm>
          <a:off x="3010542" y="3939433"/>
          <a:ext cx="72103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8462355D-54FF-47B0-9D26-A7B7BF3260BA}" type="TxLink">
            <a:rPr lang="en-US" sz="2400" b="1" i="0" u="none" strike="noStrike">
              <a:solidFill>
                <a:srgbClr val="000000"/>
              </a:solidFill>
              <a:latin typeface="Calibri"/>
              <a:cs typeface="Calibri"/>
            </a:rPr>
            <a:pPr algn="ctr"/>
            <a:t>15%</a:t>
          </a:fld>
          <a:endParaRPr lang="en-US" sz="2400" b="1"/>
        </a:p>
      </xdr:txBody>
    </xdr:sp>
    <xdr:clientData/>
  </xdr:oneCellAnchor>
  <xdr:twoCellAnchor>
    <xdr:from>
      <xdr:col>4</xdr:col>
      <xdr:colOff>303751</xdr:colOff>
      <xdr:row>5</xdr:row>
      <xdr:rowOff>113242</xdr:rowOff>
    </xdr:from>
    <xdr:to>
      <xdr:col>14</xdr:col>
      <xdr:colOff>491871</xdr:colOff>
      <xdr:row>13</xdr:row>
      <xdr:rowOff>101242</xdr:rowOff>
    </xdr:to>
    <xdr:sp macro="" textlink="">
      <xdr:nvSpPr>
        <xdr:cNvPr id="50" name="Rounded Rectangle 49"/>
        <xdr:cNvSpPr/>
      </xdr:nvSpPr>
      <xdr:spPr>
        <a:xfrm>
          <a:off x="2759084" y="1065742"/>
          <a:ext cx="6326454" cy="1512000"/>
        </a:xfrm>
        <a:prstGeom prst="roundRect">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6</xdr:row>
      <xdr:rowOff>123824</xdr:rowOff>
    </xdr:from>
    <xdr:to>
      <xdr:col>5</xdr:col>
      <xdr:colOff>405562</xdr:colOff>
      <xdr:row>12</xdr:row>
      <xdr:rowOff>168824</xdr:rowOff>
    </xdr:to>
    <xdr:sp macro="" textlink="">
      <xdr:nvSpPr>
        <xdr:cNvPr id="51" name="Rounded Rectangle 50"/>
        <xdr:cNvSpPr/>
      </xdr:nvSpPr>
      <xdr:spPr>
        <a:xfrm>
          <a:off x="1841500" y="1266824"/>
          <a:ext cx="1633229" cy="118800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405188</xdr:colOff>
      <xdr:row>5</xdr:row>
      <xdr:rowOff>123826</xdr:rowOff>
    </xdr:from>
    <xdr:to>
      <xdr:col>5</xdr:col>
      <xdr:colOff>375</xdr:colOff>
      <xdr:row>8</xdr:row>
      <xdr:rowOff>57151</xdr:rowOff>
    </xdr:to>
    <xdr:sp macro="" textlink="">
      <xdr:nvSpPr>
        <xdr:cNvPr id="52" name="Oval 51"/>
        <xdr:cNvSpPr/>
      </xdr:nvSpPr>
      <xdr:spPr>
        <a:xfrm>
          <a:off x="2233988" y="314326"/>
          <a:ext cx="814387" cy="504825"/>
        </a:xfrm>
        <a:prstGeom prst="ellipse">
          <a:avLst/>
        </a:prstGeom>
        <a:solidFill>
          <a:schemeClr val="accent6"/>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507207</xdr:colOff>
      <xdr:row>6</xdr:row>
      <xdr:rowOff>123824</xdr:rowOff>
    </xdr:from>
    <xdr:to>
      <xdr:col>16</xdr:col>
      <xdr:colOff>305551</xdr:colOff>
      <xdr:row>12</xdr:row>
      <xdr:rowOff>168824</xdr:rowOff>
    </xdr:to>
    <xdr:sp macro="" textlink="">
      <xdr:nvSpPr>
        <xdr:cNvPr id="53" name="Rounded Rectangle 52"/>
        <xdr:cNvSpPr/>
      </xdr:nvSpPr>
      <xdr:spPr>
        <a:xfrm>
          <a:off x="8487040" y="1266824"/>
          <a:ext cx="1639844" cy="118800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305176</xdr:colOff>
      <xdr:row>5</xdr:row>
      <xdr:rowOff>123826</xdr:rowOff>
    </xdr:from>
    <xdr:to>
      <xdr:col>15</xdr:col>
      <xdr:colOff>507583</xdr:colOff>
      <xdr:row>8</xdr:row>
      <xdr:rowOff>57151</xdr:rowOff>
    </xdr:to>
    <xdr:sp macro="" textlink="">
      <xdr:nvSpPr>
        <xdr:cNvPr id="54" name="Oval 53"/>
        <xdr:cNvSpPr/>
      </xdr:nvSpPr>
      <xdr:spPr>
        <a:xfrm>
          <a:off x="8839576" y="314326"/>
          <a:ext cx="812007" cy="504825"/>
        </a:xfrm>
        <a:prstGeom prst="ellipse">
          <a:avLst/>
        </a:prstGeom>
        <a:solidFill>
          <a:schemeClr val="accent6"/>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525578</xdr:colOff>
      <xdr:row>6</xdr:row>
      <xdr:rowOff>123824</xdr:rowOff>
    </xdr:from>
    <xdr:to>
      <xdr:col>9</xdr:col>
      <xdr:colOff>321540</xdr:colOff>
      <xdr:row>12</xdr:row>
      <xdr:rowOff>168824</xdr:rowOff>
    </xdr:to>
    <xdr:sp macro="" textlink="">
      <xdr:nvSpPr>
        <xdr:cNvPr id="55" name="Rounded Rectangle 54"/>
        <xdr:cNvSpPr/>
      </xdr:nvSpPr>
      <xdr:spPr>
        <a:xfrm>
          <a:off x="4208578" y="1266824"/>
          <a:ext cx="1637462" cy="118800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321166</xdr:colOff>
      <xdr:row>5</xdr:row>
      <xdr:rowOff>123826</xdr:rowOff>
    </xdr:from>
    <xdr:to>
      <xdr:col>8</xdr:col>
      <xdr:colOff>525953</xdr:colOff>
      <xdr:row>8</xdr:row>
      <xdr:rowOff>57151</xdr:rowOff>
    </xdr:to>
    <xdr:sp macro="" textlink="">
      <xdr:nvSpPr>
        <xdr:cNvPr id="56" name="Oval 55"/>
        <xdr:cNvSpPr/>
      </xdr:nvSpPr>
      <xdr:spPr>
        <a:xfrm>
          <a:off x="4588366" y="314326"/>
          <a:ext cx="814387" cy="504825"/>
        </a:xfrm>
        <a:prstGeom prst="ellipse">
          <a:avLst/>
        </a:prstGeom>
        <a:solidFill>
          <a:schemeClr val="accent6"/>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182281</xdr:colOff>
      <xdr:row>6</xdr:row>
      <xdr:rowOff>123824</xdr:rowOff>
    </xdr:from>
    <xdr:to>
      <xdr:col>12</xdr:col>
      <xdr:colOff>590225</xdr:colOff>
      <xdr:row>12</xdr:row>
      <xdr:rowOff>168824</xdr:rowOff>
    </xdr:to>
    <xdr:sp macro="" textlink="">
      <xdr:nvSpPr>
        <xdr:cNvPr id="57" name="Rounded Rectangle 56"/>
        <xdr:cNvSpPr/>
      </xdr:nvSpPr>
      <xdr:spPr>
        <a:xfrm>
          <a:off x="6320614" y="1266824"/>
          <a:ext cx="1635611" cy="118800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589850</xdr:colOff>
      <xdr:row>5</xdr:row>
      <xdr:rowOff>123826</xdr:rowOff>
    </xdr:from>
    <xdr:to>
      <xdr:col>12</xdr:col>
      <xdr:colOff>182656</xdr:colOff>
      <xdr:row>8</xdr:row>
      <xdr:rowOff>57151</xdr:rowOff>
    </xdr:to>
    <xdr:sp macro="" textlink="">
      <xdr:nvSpPr>
        <xdr:cNvPr id="58" name="Oval 57"/>
        <xdr:cNvSpPr/>
      </xdr:nvSpPr>
      <xdr:spPr>
        <a:xfrm>
          <a:off x="6685850" y="314326"/>
          <a:ext cx="812006" cy="504825"/>
        </a:xfrm>
        <a:prstGeom prst="ellipse">
          <a:avLst/>
        </a:prstGeom>
        <a:solidFill>
          <a:schemeClr val="accent6"/>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596381</xdr:colOff>
      <xdr:row>5</xdr:row>
      <xdr:rowOff>161422</xdr:rowOff>
    </xdr:from>
    <xdr:to>
      <xdr:col>4</xdr:col>
      <xdr:colOff>418781</xdr:colOff>
      <xdr:row>8</xdr:row>
      <xdr:rowOff>19554</xdr:rowOff>
    </xdr:to>
    <xdr:pic>
      <xdr:nvPicPr>
        <xdr:cNvPr id="67" name="Picture 66" descr="Money ba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425181" y="351922"/>
          <a:ext cx="432000" cy="4296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170253</xdr:colOff>
      <xdr:row>5</xdr:row>
      <xdr:rowOff>161422</xdr:rowOff>
    </xdr:from>
    <xdr:to>
      <xdr:col>11</xdr:col>
      <xdr:colOff>602253</xdr:colOff>
      <xdr:row>8</xdr:row>
      <xdr:rowOff>19554</xdr:rowOff>
    </xdr:to>
    <xdr:pic>
      <xdr:nvPicPr>
        <xdr:cNvPr id="68" name="Picture 67" descr="Profit"/>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875853" y="351922"/>
          <a:ext cx="432000" cy="429632"/>
        </a:xfrm>
        <a:prstGeom prst="rect">
          <a:avLst/>
        </a:prstGeom>
        <a:noFill/>
      </xdr:spPr>
    </xdr:pic>
    <xdr:clientData/>
  </xdr:twoCellAnchor>
  <xdr:twoCellAnchor editAs="oneCell">
    <xdr:from>
      <xdr:col>14</xdr:col>
      <xdr:colOff>495179</xdr:colOff>
      <xdr:row>5</xdr:row>
      <xdr:rowOff>161423</xdr:rowOff>
    </xdr:from>
    <xdr:to>
      <xdr:col>15</xdr:col>
      <xdr:colOff>317579</xdr:colOff>
      <xdr:row>8</xdr:row>
      <xdr:rowOff>19554</xdr:rowOff>
    </xdr:to>
    <xdr:pic>
      <xdr:nvPicPr>
        <xdr:cNvPr id="69" name="Picture 68" descr="Order delivery "/>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029579" y="351923"/>
          <a:ext cx="432000" cy="429631"/>
        </a:xfrm>
        <a:prstGeom prst="rect">
          <a:avLst/>
        </a:prstGeom>
        <a:noFill/>
      </xdr:spPr>
    </xdr:pic>
    <xdr:clientData/>
  </xdr:twoCellAnchor>
  <xdr:twoCellAnchor editAs="oneCell">
    <xdr:from>
      <xdr:col>7</xdr:col>
      <xdr:colOff>512359</xdr:colOff>
      <xdr:row>5</xdr:row>
      <xdr:rowOff>160238</xdr:rowOff>
    </xdr:from>
    <xdr:to>
      <xdr:col>8</xdr:col>
      <xdr:colOff>334759</xdr:colOff>
      <xdr:row>8</xdr:row>
      <xdr:rowOff>20738</xdr:rowOff>
    </xdr:to>
    <xdr:pic>
      <xdr:nvPicPr>
        <xdr:cNvPr id="70" name="Picture 69" descr="Discount "/>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779559" y="350738"/>
          <a:ext cx="432000"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5978</xdr:colOff>
      <xdr:row>11</xdr:row>
      <xdr:rowOff>94174</xdr:rowOff>
    </xdr:from>
    <xdr:to>
      <xdr:col>9</xdr:col>
      <xdr:colOff>231540</xdr:colOff>
      <xdr:row>11</xdr:row>
      <xdr:rowOff>94174</xdr:rowOff>
    </xdr:to>
    <xdr:cxnSp macro="">
      <xdr:nvCxnSpPr>
        <xdr:cNvPr id="73" name="Straight Connector 72"/>
        <xdr:cNvCxnSpPr/>
      </xdr:nvCxnSpPr>
      <xdr:spPr>
        <a:xfrm>
          <a:off x="4273178" y="1427674"/>
          <a:ext cx="1444762"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272281</xdr:colOff>
      <xdr:row>11</xdr:row>
      <xdr:rowOff>94174</xdr:rowOff>
    </xdr:from>
    <xdr:to>
      <xdr:col>12</xdr:col>
      <xdr:colOff>500225</xdr:colOff>
      <xdr:row>11</xdr:row>
      <xdr:rowOff>94174</xdr:rowOff>
    </xdr:to>
    <xdr:cxnSp macro="">
      <xdr:nvCxnSpPr>
        <xdr:cNvPr id="74" name="Straight Connector 73"/>
        <xdr:cNvCxnSpPr/>
      </xdr:nvCxnSpPr>
      <xdr:spPr>
        <a:xfrm>
          <a:off x="6368281" y="1427674"/>
          <a:ext cx="144714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597207</xdr:colOff>
      <xdr:row>11</xdr:row>
      <xdr:rowOff>94174</xdr:rowOff>
    </xdr:from>
    <xdr:to>
      <xdr:col>16</xdr:col>
      <xdr:colOff>215551</xdr:colOff>
      <xdr:row>11</xdr:row>
      <xdr:rowOff>94174</xdr:rowOff>
    </xdr:to>
    <xdr:cxnSp macro="">
      <xdr:nvCxnSpPr>
        <xdr:cNvPr id="75" name="Straight Connector 74"/>
        <xdr:cNvCxnSpPr/>
      </xdr:nvCxnSpPr>
      <xdr:spPr>
        <a:xfrm>
          <a:off x="8522007" y="1427674"/>
          <a:ext cx="144714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90000</xdr:colOff>
      <xdr:row>11</xdr:row>
      <xdr:rowOff>94174</xdr:rowOff>
    </xdr:from>
    <xdr:to>
      <xdr:col>5</xdr:col>
      <xdr:colOff>315562</xdr:colOff>
      <xdr:row>11</xdr:row>
      <xdr:rowOff>94174</xdr:rowOff>
    </xdr:to>
    <xdr:cxnSp macro="">
      <xdr:nvCxnSpPr>
        <xdr:cNvPr id="82" name="Straight Connector 81"/>
        <xdr:cNvCxnSpPr/>
      </xdr:nvCxnSpPr>
      <xdr:spPr>
        <a:xfrm>
          <a:off x="1918800" y="1427674"/>
          <a:ext cx="1444762"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112800</xdr:colOff>
      <xdr:row>8</xdr:row>
      <xdr:rowOff>53417</xdr:rowOff>
    </xdr:from>
    <xdr:ext cx="1407629" cy="342786"/>
    <xdr:sp macro="" textlink="">
      <xdr:nvSpPr>
        <xdr:cNvPr id="83" name="TextBox 82"/>
        <xdr:cNvSpPr txBox="1"/>
      </xdr:nvSpPr>
      <xdr:spPr>
        <a:xfrm>
          <a:off x="1954300" y="1577417"/>
          <a:ext cx="140762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600" b="1"/>
            <a:t>Sales Revenue</a:t>
          </a:r>
          <a:endParaRPr lang="en-US" sz="1600" b="1"/>
        </a:p>
      </xdr:txBody>
    </xdr:sp>
    <xdr:clientData/>
  </xdr:oneCellAnchor>
  <xdr:oneCellAnchor>
    <xdr:from>
      <xdr:col>3</xdr:col>
      <xdr:colOff>292240</xdr:colOff>
      <xdr:row>9</xdr:row>
      <xdr:rowOff>123465</xdr:rowOff>
    </xdr:from>
    <xdr:ext cx="1048749" cy="374141"/>
    <xdr:sp macro="" textlink="KPI!$A$6">
      <xdr:nvSpPr>
        <xdr:cNvPr id="84" name="TextBox 83"/>
        <xdr:cNvSpPr txBox="1"/>
      </xdr:nvSpPr>
      <xdr:spPr>
        <a:xfrm>
          <a:off x="2133740" y="1837965"/>
          <a:ext cx="10487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7757A86E-197D-453B-A569-577AE5D57F90}" type="TxLink">
            <a:rPr lang="en-US" sz="1800" b="0" i="0" u="none" strike="noStrike">
              <a:solidFill>
                <a:srgbClr val="000000"/>
              </a:solidFill>
              <a:latin typeface="Calibri"/>
              <a:cs typeface="Calibri"/>
            </a:rPr>
            <a:pPr algn="ctr"/>
            <a:t> $16,290 </a:t>
          </a:fld>
          <a:endParaRPr lang="en-US" sz="1800"/>
        </a:p>
      </xdr:txBody>
    </xdr:sp>
    <xdr:clientData/>
  </xdr:oneCellAnchor>
  <xdr:oneCellAnchor>
    <xdr:from>
      <xdr:col>10</xdr:col>
      <xdr:colOff>490331</xdr:colOff>
      <xdr:row>8</xdr:row>
      <xdr:rowOff>53417</xdr:rowOff>
    </xdr:from>
    <xdr:ext cx="1019510" cy="342786"/>
    <xdr:sp macro="" textlink="">
      <xdr:nvSpPr>
        <xdr:cNvPr id="85" name="TextBox 84"/>
        <xdr:cNvSpPr txBox="1"/>
      </xdr:nvSpPr>
      <xdr:spPr>
        <a:xfrm>
          <a:off x="6628664" y="1577417"/>
          <a:ext cx="10195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600" b="1"/>
            <a:t>Net</a:t>
          </a:r>
          <a:r>
            <a:rPr lang="id-ID" sz="1600" b="1" baseline="0"/>
            <a:t> Profit</a:t>
          </a:r>
          <a:endParaRPr lang="en-US" sz="1600" b="1"/>
        </a:p>
      </xdr:txBody>
    </xdr:sp>
    <xdr:clientData/>
  </xdr:oneCellAnchor>
  <xdr:oneCellAnchor>
    <xdr:from>
      <xdr:col>10</xdr:col>
      <xdr:colOff>534221</xdr:colOff>
      <xdr:row>9</xdr:row>
      <xdr:rowOff>123465</xdr:rowOff>
    </xdr:from>
    <xdr:ext cx="931730" cy="374141"/>
    <xdr:sp macro="" textlink="KPI!$C$6">
      <xdr:nvSpPr>
        <xdr:cNvPr id="86" name="TextBox 85"/>
        <xdr:cNvSpPr txBox="1"/>
      </xdr:nvSpPr>
      <xdr:spPr>
        <a:xfrm>
          <a:off x="6672554" y="1837965"/>
          <a:ext cx="93173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42FF19B-EDC1-4665-A310-80237B94A287}" type="TxLink">
            <a:rPr lang="en-US" sz="1800" b="0" i="0" u="none" strike="noStrike">
              <a:solidFill>
                <a:srgbClr val="000000"/>
              </a:solidFill>
              <a:latin typeface="Calibri"/>
              <a:ea typeface="+mn-ea"/>
              <a:cs typeface="Calibri"/>
            </a:rPr>
            <a:pPr marL="0" indent="0" algn="ctr"/>
            <a:t> $7,221 </a:t>
          </a:fld>
          <a:endParaRPr lang="en-US" sz="1800" b="0" i="0" u="none" strike="noStrike">
            <a:solidFill>
              <a:srgbClr val="000000"/>
            </a:solidFill>
            <a:latin typeface="Calibri"/>
            <a:ea typeface="+mn-ea"/>
            <a:cs typeface="Calibri"/>
          </a:endParaRPr>
        </a:p>
      </xdr:txBody>
    </xdr:sp>
    <xdr:clientData/>
  </xdr:oneCellAnchor>
  <xdr:oneCellAnchor>
    <xdr:from>
      <xdr:col>14</xdr:col>
      <xdr:colOff>90464</xdr:colOff>
      <xdr:row>8</xdr:row>
      <xdr:rowOff>53417</xdr:rowOff>
    </xdr:from>
    <xdr:ext cx="1245662" cy="342786"/>
    <xdr:sp macro="" textlink="">
      <xdr:nvSpPr>
        <xdr:cNvPr id="87" name="TextBox 86"/>
        <xdr:cNvSpPr txBox="1"/>
      </xdr:nvSpPr>
      <xdr:spPr>
        <a:xfrm>
          <a:off x="8684131" y="1577417"/>
          <a:ext cx="124566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600" b="1"/>
            <a:t>Total</a:t>
          </a:r>
          <a:r>
            <a:rPr lang="id-ID" sz="1600" b="1" baseline="0"/>
            <a:t> Orders</a:t>
          </a:r>
          <a:endParaRPr lang="en-US" sz="1600" b="1"/>
        </a:p>
      </xdr:txBody>
    </xdr:sp>
    <xdr:clientData/>
  </xdr:oneCellAnchor>
  <xdr:oneCellAnchor>
    <xdr:from>
      <xdr:col>14</xdr:col>
      <xdr:colOff>386924</xdr:colOff>
      <xdr:row>9</xdr:row>
      <xdr:rowOff>123465</xdr:rowOff>
    </xdr:from>
    <xdr:ext cx="652743" cy="374141"/>
    <xdr:sp macro="" textlink="KPI!$E$6">
      <xdr:nvSpPr>
        <xdr:cNvPr id="88" name="TextBox 87"/>
        <xdr:cNvSpPr txBox="1"/>
      </xdr:nvSpPr>
      <xdr:spPr>
        <a:xfrm>
          <a:off x="8980591" y="1837965"/>
          <a:ext cx="65274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F45979D-5226-4285-B01D-AE77C0E09DFD}" type="TxLink">
            <a:rPr lang="en-US" sz="1800" b="0" i="0" u="none" strike="noStrike">
              <a:solidFill>
                <a:srgbClr val="000000"/>
              </a:solidFill>
              <a:latin typeface="Calibri"/>
              <a:ea typeface="+mn-ea"/>
              <a:cs typeface="Calibri"/>
            </a:rPr>
            <a:pPr marL="0" indent="0" algn="ctr"/>
            <a:t>1000</a:t>
          </a:fld>
          <a:endParaRPr lang="en-US" sz="1800" b="0" i="0" u="none" strike="noStrike">
            <a:solidFill>
              <a:srgbClr val="000000"/>
            </a:solidFill>
            <a:latin typeface="Calibri"/>
            <a:ea typeface="+mn-ea"/>
            <a:cs typeface="Calibri"/>
          </a:endParaRPr>
        </a:p>
      </xdr:txBody>
    </xdr:sp>
    <xdr:clientData/>
  </xdr:oneCellAnchor>
  <xdr:oneCellAnchor>
    <xdr:from>
      <xdr:col>7</xdr:col>
      <xdr:colOff>170739</xdr:colOff>
      <xdr:row>8</xdr:row>
      <xdr:rowOff>53417</xdr:rowOff>
    </xdr:from>
    <xdr:ext cx="1119474" cy="342786"/>
    <xdr:sp macro="" textlink="">
      <xdr:nvSpPr>
        <xdr:cNvPr id="89" name="TextBox 88"/>
        <xdr:cNvSpPr txBox="1"/>
      </xdr:nvSpPr>
      <xdr:spPr>
        <a:xfrm>
          <a:off x="4467572" y="1577417"/>
          <a:ext cx="111947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600" b="1"/>
            <a:t>Total</a:t>
          </a:r>
          <a:r>
            <a:rPr lang="id-ID" sz="1600" b="1" baseline="0"/>
            <a:t> Costs</a:t>
          </a:r>
          <a:endParaRPr lang="en-US" sz="1600" b="1"/>
        </a:p>
      </xdr:txBody>
    </xdr:sp>
    <xdr:clientData/>
  </xdr:oneCellAnchor>
  <xdr:oneCellAnchor>
    <xdr:from>
      <xdr:col>7</xdr:col>
      <xdr:colOff>264611</xdr:colOff>
      <xdr:row>9</xdr:row>
      <xdr:rowOff>123465</xdr:rowOff>
    </xdr:from>
    <xdr:ext cx="931730" cy="374141"/>
    <xdr:sp macro="" textlink="KPI!$B$6">
      <xdr:nvSpPr>
        <xdr:cNvPr id="90" name="TextBox 89"/>
        <xdr:cNvSpPr txBox="1"/>
      </xdr:nvSpPr>
      <xdr:spPr>
        <a:xfrm>
          <a:off x="4561444" y="1837965"/>
          <a:ext cx="93173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1BDDF121-7D20-44F5-8745-EC5843D7BE91}" type="TxLink">
            <a:rPr lang="en-US" sz="1800" b="0" i="0" u="none" strike="noStrike">
              <a:solidFill>
                <a:srgbClr val="000000"/>
              </a:solidFill>
              <a:latin typeface="Calibri"/>
              <a:ea typeface="+mn-ea"/>
              <a:cs typeface="Calibri"/>
            </a:rPr>
            <a:pPr marL="0" indent="0" algn="ctr"/>
            <a:t> $9,069 </a:t>
          </a:fld>
          <a:endParaRPr lang="en-US" sz="1800" b="0" i="0" u="none" strike="noStrike">
            <a:solidFill>
              <a:srgbClr val="000000"/>
            </a:solidFill>
            <a:latin typeface="Calibri"/>
            <a:ea typeface="+mn-ea"/>
            <a:cs typeface="Calibri"/>
          </a:endParaRPr>
        </a:p>
      </xdr:txBody>
    </xdr:sp>
    <xdr:clientData/>
  </xdr:oneCellAnchor>
  <xdr:twoCellAnchor>
    <xdr:from>
      <xdr:col>3</xdr:col>
      <xdr:colOff>65583</xdr:colOff>
      <xdr:row>1</xdr:row>
      <xdr:rowOff>19049</xdr:rowOff>
    </xdr:from>
    <xdr:to>
      <xdr:col>25</xdr:col>
      <xdr:colOff>349250</xdr:colOff>
      <xdr:row>5</xdr:row>
      <xdr:rowOff>13049</xdr:rowOff>
    </xdr:to>
    <xdr:sp macro="" textlink="">
      <xdr:nvSpPr>
        <xdr:cNvPr id="101" name="Rounded Rectangle 100"/>
        <xdr:cNvSpPr/>
      </xdr:nvSpPr>
      <xdr:spPr>
        <a:xfrm>
          <a:off x="1887239" y="209549"/>
          <a:ext cx="13642480" cy="75600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3200" b="1">
              <a:solidFill>
                <a:sysClr val="windowText" lastClr="000000"/>
              </a:solidFill>
            </a:rPr>
            <a:t>DermaLab Sales Performance Analytics Dashboard</a:t>
          </a:r>
          <a:endParaRPr lang="en-US" sz="3200" b="1">
            <a:solidFill>
              <a:sysClr val="windowText" lastClr="000000"/>
            </a:solidFill>
          </a:endParaRPr>
        </a:p>
      </xdr:txBody>
    </xdr:sp>
    <xdr:clientData/>
  </xdr:twoCellAnchor>
  <xdr:oneCellAnchor>
    <xdr:from>
      <xdr:col>3</xdr:col>
      <xdr:colOff>276614</xdr:colOff>
      <xdr:row>11</xdr:row>
      <xdr:rowOff>75142</xdr:rowOff>
    </xdr:from>
    <xdr:ext cx="999633" cy="280205"/>
    <xdr:sp macro="" textlink="KPI!H37">
      <xdr:nvSpPr>
        <xdr:cNvPr id="2" name="TextBox 1"/>
        <xdr:cNvSpPr txBox="1"/>
      </xdr:nvSpPr>
      <xdr:spPr>
        <a:xfrm>
          <a:off x="2118114" y="2170642"/>
          <a:ext cx="99963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B1C6B32F-D2CA-4919-91ED-EE39AE8E4FC0}" type="TxLink">
            <a:rPr lang="en-US" sz="1200" b="1" i="0" u="none" strike="noStrike">
              <a:solidFill>
                <a:srgbClr val="000000"/>
              </a:solidFill>
              <a:latin typeface="Calibri"/>
              <a:cs typeface="Calibri"/>
            </a:rPr>
            <a:pPr algn="ctr"/>
            <a:t>0.0% | $0</a:t>
          </a:fld>
          <a:endParaRPr lang="en-US" sz="1100" b="1"/>
        </a:p>
      </xdr:txBody>
    </xdr:sp>
    <xdr:clientData/>
  </xdr:oneCellAnchor>
  <xdr:oneCellAnchor>
    <xdr:from>
      <xdr:col>7</xdr:col>
      <xdr:colOff>230076</xdr:colOff>
      <xdr:row>11</xdr:row>
      <xdr:rowOff>75142</xdr:rowOff>
    </xdr:from>
    <xdr:ext cx="1000800" cy="280205"/>
    <xdr:sp macro="" textlink="KPI!H42">
      <xdr:nvSpPr>
        <xdr:cNvPr id="59" name="TextBox 58"/>
        <xdr:cNvSpPr txBox="1"/>
      </xdr:nvSpPr>
      <xdr:spPr>
        <a:xfrm>
          <a:off x="4526909" y="2170642"/>
          <a:ext cx="10008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B1E2266E-BCA5-401D-BFBC-4878EF5A6880}" type="TxLink">
            <a:rPr lang="en-US" sz="1200" b="1" i="0" u="none" strike="noStrike">
              <a:solidFill>
                <a:srgbClr val="000000"/>
              </a:solidFill>
              <a:latin typeface="Calibri"/>
              <a:cs typeface="Calibri"/>
            </a:rPr>
            <a:pPr algn="ctr"/>
            <a:t>0.0% | $0</a:t>
          </a:fld>
          <a:endParaRPr lang="en-US" sz="1100" b="1"/>
        </a:p>
      </xdr:txBody>
    </xdr:sp>
    <xdr:clientData/>
  </xdr:oneCellAnchor>
  <xdr:oneCellAnchor>
    <xdr:from>
      <xdr:col>10</xdr:col>
      <xdr:colOff>499686</xdr:colOff>
      <xdr:row>11</xdr:row>
      <xdr:rowOff>75142</xdr:rowOff>
    </xdr:from>
    <xdr:ext cx="1000800" cy="280205"/>
    <xdr:sp macro="" textlink="KPI!H47">
      <xdr:nvSpPr>
        <xdr:cNvPr id="60" name="TextBox 59"/>
        <xdr:cNvSpPr txBox="1"/>
      </xdr:nvSpPr>
      <xdr:spPr>
        <a:xfrm>
          <a:off x="6638019" y="2170642"/>
          <a:ext cx="10008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342FA4FB-2B65-4E42-B6D4-59DD3E64CDD8}" type="TxLink">
            <a:rPr lang="en-US" sz="1200" b="1" i="0" u="none" strike="noStrike">
              <a:solidFill>
                <a:srgbClr val="000000"/>
              </a:solidFill>
              <a:latin typeface="Calibri"/>
              <a:cs typeface="Calibri"/>
            </a:rPr>
            <a:pPr algn="ctr"/>
            <a:t>0.0% | $0</a:t>
          </a:fld>
          <a:endParaRPr lang="en-US" sz="1100" b="1"/>
        </a:p>
      </xdr:txBody>
    </xdr:sp>
    <xdr:clientData/>
  </xdr:oneCellAnchor>
  <xdr:oneCellAnchor>
    <xdr:from>
      <xdr:col>14</xdr:col>
      <xdr:colOff>230887</xdr:colOff>
      <xdr:row>11</xdr:row>
      <xdr:rowOff>75142</xdr:rowOff>
    </xdr:from>
    <xdr:ext cx="964816" cy="280205"/>
    <xdr:sp macro="" textlink="KPI!H52">
      <xdr:nvSpPr>
        <xdr:cNvPr id="61" name="TextBox 60"/>
        <xdr:cNvSpPr txBox="1"/>
      </xdr:nvSpPr>
      <xdr:spPr>
        <a:xfrm>
          <a:off x="8824554" y="2170642"/>
          <a:ext cx="96481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8BC1E480-2B09-4349-AD8E-3519D77AE393}" type="TxLink">
            <a:rPr lang="en-US" sz="1200" b="1" i="0" u="none" strike="noStrike">
              <a:solidFill>
                <a:srgbClr val="000000"/>
              </a:solidFill>
              <a:latin typeface="Calibri"/>
              <a:cs typeface="Calibri"/>
            </a:rPr>
            <a:pPr algn="ctr"/>
            <a:t>0.0% | 0</a:t>
          </a:fld>
          <a:endParaRPr lang="en-US" sz="1100" b="1"/>
        </a:p>
      </xdr:txBody>
    </xdr:sp>
    <xdr:clientData/>
  </xdr:oneCellAnchor>
  <xdr:twoCellAnchor editAs="oneCell">
    <xdr:from>
      <xdr:col>16</xdr:col>
      <xdr:colOff>550335</xdr:colOff>
      <xdr:row>6</xdr:row>
      <xdr:rowOff>26460</xdr:rowOff>
    </xdr:from>
    <xdr:to>
      <xdr:col>19</xdr:col>
      <xdr:colOff>508835</xdr:colOff>
      <xdr:row>9</xdr:row>
      <xdr:rowOff>102960</xdr:rowOff>
    </xdr:to>
    <mc:AlternateContent xmlns:mc="http://schemas.openxmlformats.org/markup-compatibility/2006" xmlns:a14="http://schemas.microsoft.com/office/drawing/2010/main">
      <mc:Choice Requires="a14">
        <xdr:graphicFrame macro="">
          <xdr:nvGraphicFramePr>
            <xdr:cNvPr id="62"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265835" y="1169460"/>
              <a:ext cx="1780156" cy="64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560586</xdr:colOff>
      <xdr:row>6</xdr:row>
      <xdr:rowOff>26460</xdr:rowOff>
    </xdr:from>
    <xdr:to>
      <xdr:col>25</xdr:col>
      <xdr:colOff>261586</xdr:colOff>
      <xdr:row>9</xdr:row>
      <xdr:rowOff>102960</xdr:rowOff>
    </xdr:to>
    <mc:AlternateContent xmlns:mc="http://schemas.openxmlformats.org/markup-compatibility/2006" xmlns:a14="http://schemas.microsoft.com/office/drawing/2010/main">
      <mc:Choice Requires="a14">
        <xdr:graphicFrame macro="">
          <xdr:nvGraphicFramePr>
            <xdr:cNvPr id="6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097742" y="1169460"/>
              <a:ext cx="3344313" cy="64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550335</xdr:colOff>
      <xdr:row>9</xdr:row>
      <xdr:rowOff>144337</xdr:rowOff>
    </xdr:from>
    <xdr:to>
      <xdr:col>20</xdr:col>
      <xdr:colOff>353460</xdr:colOff>
      <xdr:row>12</xdr:row>
      <xdr:rowOff>184837</xdr:rowOff>
    </xdr:to>
    <mc:AlternateContent xmlns:mc="http://schemas.openxmlformats.org/markup-compatibility/2006" xmlns:a14="http://schemas.microsoft.com/office/drawing/2010/main">
      <mc:Choice Requires="a14">
        <xdr:graphicFrame macro="">
          <xdr:nvGraphicFramePr>
            <xdr:cNvPr id="64" name="Product Category"/>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0265835" y="1858837"/>
              <a:ext cx="2232000" cy="61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428625</xdr:colOff>
      <xdr:row>9</xdr:row>
      <xdr:rowOff>144337</xdr:rowOff>
    </xdr:from>
    <xdr:to>
      <xdr:col>25</xdr:col>
      <xdr:colOff>261587</xdr:colOff>
      <xdr:row>12</xdr:row>
      <xdr:rowOff>184837</xdr:rowOff>
    </xdr:to>
    <mc:AlternateContent xmlns:mc="http://schemas.openxmlformats.org/markup-compatibility/2006" xmlns:a14="http://schemas.microsoft.com/office/drawing/2010/main">
      <mc:Choice Requires="a14">
        <xdr:graphicFrame macro="">
          <xdr:nvGraphicFramePr>
            <xdr:cNvPr id="65" name="Sales Location"/>
            <xdr:cNvGraphicFramePr/>
          </xdr:nvGraphicFramePr>
          <xdr:xfrm>
            <a:off x="0" y="0"/>
            <a:ext cx="0" cy="0"/>
          </xdr:xfrm>
          <a:graphic>
            <a:graphicData uri="http://schemas.microsoft.com/office/drawing/2010/slicer">
              <sle:slicer xmlns:sle="http://schemas.microsoft.com/office/drawing/2010/slicer" name="Sales Location"/>
            </a:graphicData>
          </a:graphic>
        </xdr:graphicFrame>
      </mc:Choice>
      <mc:Fallback xmlns="">
        <xdr:sp macro="" textlink="">
          <xdr:nvSpPr>
            <xdr:cNvPr id="0" name=""/>
            <xdr:cNvSpPr>
              <a:spLocks noTextEdit="1"/>
            </xdr:cNvSpPr>
          </xdr:nvSpPr>
          <xdr:spPr>
            <a:xfrm>
              <a:off x="12573000" y="1858837"/>
              <a:ext cx="2869056" cy="61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266405</xdr:colOff>
      <xdr:row>1</xdr:row>
      <xdr:rowOff>19049</xdr:rowOff>
    </xdr:from>
    <xdr:to>
      <xdr:col>2</xdr:col>
      <xdr:colOff>412805</xdr:colOff>
      <xdr:row>42</xdr:row>
      <xdr:rowOff>164549</xdr:rowOff>
    </xdr:to>
    <xdr:sp macro="" textlink="">
      <xdr:nvSpPr>
        <xdr:cNvPr id="71" name="Rounded Rectangle 70"/>
        <xdr:cNvSpPr/>
      </xdr:nvSpPr>
      <xdr:spPr>
        <a:xfrm>
          <a:off x="878726" y="209549"/>
          <a:ext cx="758722" cy="795600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391214</xdr:colOff>
      <xdr:row>20</xdr:row>
      <xdr:rowOff>125549</xdr:rowOff>
    </xdr:from>
    <xdr:to>
      <xdr:col>2</xdr:col>
      <xdr:colOff>287995</xdr:colOff>
      <xdr:row>23</xdr:row>
      <xdr:rowOff>58049</xdr:rowOff>
    </xdr:to>
    <xdr:pic>
      <xdr:nvPicPr>
        <xdr:cNvPr id="72" name="Picture 71">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1003535" y="3935549"/>
          <a:ext cx="509103" cy="504000"/>
        </a:xfrm>
        <a:prstGeom prst="rect">
          <a:avLst/>
        </a:prstGeom>
      </xdr:spPr>
    </xdr:pic>
    <xdr:clientData/>
  </xdr:twoCellAnchor>
  <xdr:twoCellAnchor editAs="oneCell">
    <xdr:from>
      <xdr:col>1</xdr:col>
      <xdr:colOff>391214</xdr:colOff>
      <xdr:row>1</xdr:row>
      <xdr:rowOff>87084</xdr:rowOff>
    </xdr:from>
    <xdr:to>
      <xdr:col>2</xdr:col>
      <xdr:colOff>287995</xdr:colOff>
      <xdr:row>4</xdr:row>
      <xdr:rowOff>19584</xdr:rowOff>
    </xdr:to>
    <xdr:pic>
      <xdr:nvPicPr>
        <xdr:cNvPr id="76" name="Picture 75">
          <a:hlinkClick xmlns:r="http://schemas.openxmlformats.org/officeDocument/2006/relationships" r:id="rId14"/>
        </xdr:cNvPr>
        <xdr:cNvPicPr>
          <a:picLocks noChangeAspect="1"/>
        </xdr:cNvPicPr>
      </xdr:nvPicPr>
      <xdr:blipFill>
        <a:blip xmlns:r="http://schemas.openxmlformats.org/officeDocument/2006/relationships" r:embed="rId15"/>
        <a:stretch>
          <a:fillRect/>
        </a:stretch>
      </xdr:blipFill>
      <xdr:spPr>
        <a:xfrm>
          <a:off x="1003535" y="277584"/>
          <a:ext cx="509103" cy="504000"/>
        </a:xfrm>
        <a:prstGeom prst="rect">
          <a:avLst/>
        </a:prstGeom>
      </xdr:spPr>
    </xdr:pic>
    <xdr:clientData/>
  </xdr:twoCellAnchor>
  <xdr:twoCellAnchor editAs="oneCell">
    <xdr:from>
      <xdr:col>1</xdr:col>
      <xdr:colOff>391214</xdr:colOff>
      <xdr:row>39</xdr:row>
      <xdr:rowOff>150406</xdr:rowOff>
    </xdr:from>
    <xdr:to>
      <xdr:col>2</xdr:col>
      <xdr:colOff>287995</xdr:colOff>
      <xdr:row>42</xdr:row>
      <xdr:rowOff>82906</xdr:rowOff>
    </xdr:to>
    <xdr:pic>
      <xdr:nvPicPr>
        <xdr:cNvPr id="77" name="Picture 76">
          <a:hlinkClick xmlns:r="http://schemas.openxmlformats.org/officeDocument/2006/relationships" r:id="rId16"/>
        </xdr:cNvPr>
        <xdr:cNvPicPr>
          <a:picLocks noChangeAspect="1"/>
        </xdr:cNvPicPr>
      </xdr:nvPicPr>
      <xdr:blipFill>
        <a:blip xmlns:r="http://schemas.openxmlformats.org/officeDocument/2006/relationships" r:embed="rId17"/>
        <a:stretch>
          <a:fillRect/>
        </a:stretch>
      </xdr:blipFill>
      <xdr:spPr>
        <a:xfrm>
          <a:off x="1003535" y="7579906"/>
          <a:ext cx="509103" cy="50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1514475</xdr:colOff>
          <xdr:row>13</xdr:row>
          <xdr:rowOff>228600</xdr:rowOff>
        </xdr:from>
        <xdr:to>
          <xdr:col>7</xdr:col>
          <xdr:colOff>476250</xdr:colOff>
          <xdr:row>15</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Submit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US" refreshedDate="46032.552970254626" missingItemsLimit="0" createdVersion="6" refreshedVersion="6" minRefreshableVersion="3" recordCount="1000">
  <cacheSource type="worksheet">
    <worksheetSource name="tblSales"/>
  </cacheSource>
  <cacheFields count="18">
    <cacheField name="Order ID" numFmtId="0">
      <sharedItems/>
    </cacheField>
    <cacheField name="Customer Name" numFmtId="0">
      <sharedItems/>
    </cacheField>
    <cacheField name="Product Category" numFmtId="0">
      <sharedItems count="5">
        <s v="Moisturizer"/>
        <s v="Sunscreen"/>
        <s v="Serum"/>
        <s v="Toner"/>
        <s v="Cleanser"/>
      </sharedItems>
    </cacheField>
    <cacheField name="Product Name" numFmtId="0">
      <sharedItems/>
    </cacheField>
    <cacheField name="Order Date" numFmtId="14">
      <sharedItems containsSemiMixedTypes="0" containsNonDate="0" containsDate="1" containsString="0" minDate="2023-07-01T00:00:00" maxDate="2024-10-30T00:00:00"/>
    </cacheField>
    <cacheField name="Delivered Date" numFmtId="14">
      <sharedItems containsSemiMixedTypes="0" containsNonDate="0" containsDate="1" containsString="0" minDate="2023-07-04T00:00:00" maxDate="2024-11-10T00:00:00"/>
    </cacheField>
    <cacheField name="Quantity" numFmtId="0">
      <sharedItems containsSemiMixedTypes="0" containsString="0" containsNumber="1" containsInteger="1" minValue="1" maxValue="5"/>
    </cacheField>
    <cacheField name="Unit Price" numFmtId="0">
      <sharedItems containsSemiMixedTypes="0" containsString="0" containsNumber="1" minValue="3" maxValue="10"/>
    </cacheField>
    <cacheField name="Status" numFmtId="0">
      <sharedItems count="2">
        <s v="Completed"/>
        <s v="Returned"/>
      </sharedItems>
    </cacheField>
    <cacheField name="Sales Location" numFmtId="0">
      <sharedItems count="6">
        <s v="Official Website"/>
        <s v="Shopee"/>
        <s v="Retail Store"/>
        <s v="TikTok Shop"/>
        <s v="Beauty Store"/>
        <s v="Pharmacy Chain"/>
      </sharedItems>
    </cacheField>
    <cacheField name="Payment Method" numFmtId="0">
      <sharedItems count="3">
        <s v="Credit Card"/>
        <s v="Bank Transfer"/>
        <s v="E-Wallet"/>
      </sharedItems>
    </cacheField>
    <cacheField name="Year" numFmtId="0">
      <sharedItems count="2">
        <s v="2024"/>
        <s v="2023"/>
      </sharedItems>
    </cacheField>
    <cacheField name="Month" numFmtId="0">
      <sharedItems count="12">
        <s v="Mar"/>
        <s v="Jul"/>
        <s v="Nov"/>
        <s v="Feb"/>
        <s v="Jun"/>
        <s v="Aug"/>
        <s v="Apr"/>
        <s v="Oct"/>
        <s v="Dec"/>
        <s v="May"/>
        <s v="Sep"/>
        <s v="Jan"/>
      </sharedItems>
    </cacheField>
    <cacheField name="Day" numFmtId="0">
      <sharedItems count="7">
        <s v="Sat"/>
        <s v="Sun"/>
        <s v="Mon"/>
        <s v="Tue"/>
        <s v="Wed"/>
        <s v="Thu"/>
        <s v="Fri"/>
      </sharedItems>
    </cacheField>
    <cacheField name="Delivery Time" numFmtId="0">
      <sharedItems containsSemiMixedTypes="0" containsString="0" containsNumber="1" containsInteger="1" minValue="1" maxValue="14"/>
    </cacheField>
    <cacheField name="Sales Revenue" numFmtId="0">
      <sharedItems containsSemiMixedTypes="0" containsString="0" containsNumber="1" minValue="3" maxValue="50"/>
    </cacheField>
    <cacheField name="Total Cost" numFmtId="0">
      <sharedItems containsSemiMixedTypes="0" containsString="0" containsNumber="1" containsInteger="1" minValue="1" maxValue="33"/>
    </cacheField>
    <cacheField name="Net Profit" numFmtId="0">
      <sharedItems containsSemiMixedTypes="0" containsString="0" containsNumber="1" minValue="1.5" maxValue="18.7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s v="ORD-0001"/>
    <s v="Bonni Armatage"/>
    <x v="0"/>
    <s v="Night Cream"/>
    <d v="2024-03-30T00:00:00"/>
    <d v="2024-04-05T00:00:00"/>
    <n v="3"/>
    <n v="6.5"/>
    <x v="0"/>
    <x v="0"/>
    <x v="0"/>
    <x v="0"/>
    <x v="0"/>
    <x v="0"/>
    <n v="6"/>
    <n v="19.5"/>
    <n v="11"/>
    <n v="8.5"/>
  </r>
  <r>
    <s v="ORD-0002"/>
    <s v="Dona Oxbrough"/>
    <x v="1"/>
    <s v="Sensitive Sunscreen"/>
    <d v="2023-07-08T00:00:00"/>
    <d v="2023-07-15T00:00:00"/>
    <n v="3"/>
    <n v="5.5"/>
    <x v="0"/>
    <x v="1"/>
    <x v="1"/>
    <x v="1"/>
    <x v="1"/>
    <x v="0"/>
    <n v="7"/>
    <n v="16.5"/>
    <n v="10"/>
    <n v="6.5"/>
  </r>
  <r>
    <s v="ORD-0003"/>
    <s v="Hiram Momery"/>
    <x v="2"/>
    <s v="Retinol Serum"/>
    <d v="2023-11-26T00:00:00"/>
    <d v="2023-11-29T00:00:00"/>
    <n v="4"/>
    <n v="10"/>
    <x v="0"/>
    <x v="0"/>
    <x v="1"/>
    <x v="1"/>
    <x v="2"/>
    <x v="1"/>
    <n v="3"/>
    <n v="40"/>
    <n v="26"/>
    <n v="14"/>
  </r>
  <r>
    <s v="ORD-0004"/>
    <s v="Delora Streetfield"/>
    <x v="3"/>
    <s v="Soothing Toner"/>
    <d v="2024-02-17T00:00:00"/>
    <d v="2024-02-18T00:00:00"/>
    <n v="3"/>
    <n v="4.75"/>
    <x v="0"/>
    <x v="1"/>
    <x v="2"/>
    <x v="0"/>
    <x v="3"/>
    <x v="0"/>
    <n v="1"/>
    <n v="14.25"/>
    <n v="8"/>
    <n v="6.25"/>
  </r>
  <r>
    <s v="ORD-0005"/>
    <s v="Brigida Jobbing"/>
    <x v="0"/>
    <s v="Daily Moisturizer"/>
    <d v="2024-06-24T00:00:00"/>
    <d v="2024-06-26T00:00:00"/>
    <n v="4"/>
    <n v="5.5"/>
    <x v="0"/>
    <x v="2"/>
    <x v="2"/>
    <x v="0"/>
    <x v="4"/>
    <x v="2"/>
    <n v="2"/>
    <n v="22"/>
    <n v="11"/>
    <n v="11"/>
  </r>
  <r>
    <s v="ORD-0006"/>
    <s v="Morgana Duquesnay"/>
    <x v="0"/>
    <s v="Daily Moisturizer"/>
    <d v="2023-08-08T00:00:00"/>
    <d v="2023-08-12T00:00:00"/>
    <n v="1"/>
    <n v="5.5"/>
    <x v="0"/>
    <x v="0"/>
    <x v="1"/>
    <x v="1"/>
    <x v="5"/>
    <x v="3"/>
    <n v="4"/>
    <n v="5.5"/>
    <n v="3"/>
    <n v="2.5"/>
  </r>
  <r>
    <s v="ORD-0007"/>
    <s v="Brennen Siggee"/>
    <x v="0"/>
    <s v="Repair Cream"/>
    <d v="2024-04-09T00:00:00"/>
    <d v="2024-04-10T00:00:00"/>
    <n v="2"/>
    <n v="6.25"/>
    <x v="0"/>
    <x v="0"/>
    <x v="2"/>
    <x v="0"/>
    <x v="6"/>
    <x v="3"/>
    <n v="1"/>
    <n v="12.5"/>
    <n v="7"/>
    <n v="5.5"/>
  </r>
  <r>
    <s v="ORD-0008"/>
    <s v="Gerri Rishman"/>
    <x v="0"/>
    <s v="Gel Moisturizer"/>
    <d v="2023-10-11T00:00:00"/>
    <d v="2023-10-12T00:00:00"/>
    <n v="3"/>
    <n v="5.75"/>
    <x v="1"/>
    <x v="0"/>
    <x v="2"/>
    <x v="1"/>
    <x v="7"/>
    <x v="4"/>
    <n v="1"/>
    <n v="17.25"/>
    <n v="9"/>
    <n v="8.25"/>
  </r>
  <r>
    <s v="ORD-0009"/>
    <s v="Roscoe Grason"/>
    <x v="1"/>
    <s v="Sensitive Sunscreen"/>
    <d v="2024-08-26T00:00:00"/>
    <d v="2024-08-29T00:00:00"/>
    <n v="4"/>
    <n v="5.5"/>
    <x v="1"/>
    <x v="2"/>
    <x v="2"/>
    <x v="0"/>
    <x v="5"/>
    <x v="2"/>
    <n v="3"/>
    <n v="22"/>
    <n v="13"/>
    <n v="9"/>
  </r>
  <r>
    <s v="ORD-0010"/>
    <s v="Johan Drinnan"/>
    <x v="3"/>
    <s v="Brightening Toner"/>
    <d v="2024-08-29T00:00:00"/>
    <d v="2024-09-01T00:00:00"/>
    <n v="1"/>
    <n v="4.5"/>
    <x v="0"/>
    <x v="2"/>
    <x v="2"/>
    <x v="0"/>
    <x v="5"/>
    <x v="5"/>
    <n v="3"/>
    <n v="4.5"/>
    <n v="2"/>
    <n v="2.5"/>
  </r>
  <r>
    <s v="ORD-0011"/>
    <s v="Jone Searson"/>
    <x v="0"/>
    <s v="Daily Moisturizer"/>
    <d v="2023-12-25T00:00:00"/>
    <d v="2024-01-01T00:00:00"/>
    <n v="5"/>
    <n v="5.5"/>
    <x v="0"/>
    <x v="0"/>
    <x v="2"/>
    <x v="1"/>
    <x v="8"/>
    <x v="2"/>
    <n v="7"/>
    <n v="27.5"/>
    <n v="14"/>
    <n v="13.5"/>
  </r>
  <r>
    <s v="ORD-0012"/>
    <s v="Cletis Snugg"/>
    <x v="1"/>
    <s v="Matte Sunscreen"/>
    <d v="2023-10-06T00:00:00"/>
    <d v="2023-10-14T00:00:00"/>
    <n v="3"/>
    <n v="5.25"/>
    <x v="0"/>
    <x v="0"/>
    <x v="2"/>
    <x v="1"/>
    <x v="7"/>
    <x v="6"/>
    <n v="8"/>
    <n v="15.75"/>
    <n v="9"/>
    <n v="6.75"/>
  </r>
  <r>
    <s v="ORD-0013"/>
    <s v="Edythe Legen"/>
    <x v="1"/>
    <s v="Sunscreen SPF 30"/>
    <d v="2024-05-25T00:00:00"/>
    <d v="2024-05-27T00:00:00"/>
    <n v="4"/>
    <n v="4.75"/>
    <x v="0"/>
    <x v="0"/>
    <x v="1"/>
    <x v="0"/>
    <x v="9"/>
    <x v="0"/>
    <n v="2"/>
    <n v="19"/>
    <n v="10"/>
    <n v="9"/>
  </r>
  <r>
    <s v="ORD-0014"/>
    <s v="Shandie Bretelle"/>
    <x v="2"/>
    <s v="Hyaluronic Acid Serum"/>
    <d v="2024-08-12T00:00:00"/>
    <d v="2024-08-15T00:00:00"/>
    <n v="3"/>
    <n v="8.75"/>
    <x v="0"/>
    <x v="3"/>
    <x v="1"/>
    <x v="0"/>
    <x v="5"/>
    <x v="2"/>
    <n v="3"/>
    <n v="26.25"/>
    <n v="15"/>
    <n v="11.25"/>
  </r>
  <r>
    <s v="ORD-0015"/>
    <s v="Quentin Wiggett"/>
    <x v="2"/>
    <s v="Vitamin C Serum"/>
    <d v="2024-02-14T00:00:00"/>
    <d v="2024-02-15T00:00:00"/>
    <n v="2"/>
    <n v="8.5"/>
    <x v="0"/>
    <x v="0"/>
    <x v="2"/>
    <x v="0"/>
    <x v="3"/>
    <x v="4"/>
    <n v="1"/>
    <n v="17"/>
    <n v="10"/>
    <n v="7"/>
  </r>
  <r>
    <s v="ORD-0016"/>
    <s v="Jordon Robic"/>
    <x v="2"/>
    <s v="Niacinamide Serum"/>
    <d v="2023-10-03T00:00:00"/>
    <d v="2023-10-05T00:00:00"/>
    <n v="4"/>
    <n v="8"/>
    <x v="0"/>
    <x v="2"/>
    <x v="2"/>
    <x v="1"/>
    <x v="7"/>
    <x v="3"/>
    <n v="2"/>
    <n v="32"/>
    <n v="19"/>
    <n v="13"/>
  </r>
  <r>
    <s v="ORD-0017"/>
    <s v="Kristian McCrea"/>
    <x v="4"/>
    <s v="Acne Cleanser"/>
    <d v="2023-12-14T00:00:00"/>
    <d v="2023-12-16T00:00:00"/>
    <n v="3"/>
    <n v="3.5"/>
    <x v="0"/>
    <x v="4"/>
    <x v="2"/>
    <x v="1"/>
    <x v="8"/>
    <x v="5"/>
    <n v="2"/>
    <n v="10.5"/>
    <n v="5"/>
    <n v="5.5"/>
  </r>
  <r>
    <s v="ORD-0018"/>
    <s v="Eyde Edwardes"/>
    <x v="0"/>
    <s v="Night Cream"/>
    <d v="2023-12-06T00:00:00"/>
    <d v="2023-12-08T00:00:00"/>
    <n v="5"/>
    <n v="6.5"/>
    <x v="0"/>
    <x v="0"/>
    <x v="2"/>
    <x v="1"/>
    <x v="8"/>
    <x v="4"/>
    <n v="2"/>
    <n v="32.5"/>
    <n v="19"/>
    <n v="13.5"/>
  </r>
  <r>
    <s v="ORD-0019"/>
    <s v="Kimberley Telezhkin"/>
    <x v="1"/>
    <s v="Sensitive Sunscreen"/>
    <d v="2024-05-30T00:00:00"/>
    <d v="2024-05-31T00:00:00"/>
    <n v="4"/>
    <n v="5.5"/>
    <x v="0"/>
    <x v="0"/>
    <x v="2"/>
    <x v="0"/>
    <x v="9"/>
    <x v="5"/>
    <n v="1"/>
    <n v="22"/>
    <n v="13"/>
    <n v="9"/>
  </r>
  <r>
    <s v="ORD-0020"/>
    <s v="Shanna Spuffard"/>
    <x v="2"/>
    <s v="Retinol Serum"/>
    <d v="2024-08-24T00:00:00"/>
    <d v="2024-09-03T00:00:00"/>
    <n v="1"/>
    <n v="10"/>
    <x v="0"/>
    <x v="2"/>
    <x v="1"/>
    <x v="0"/>
    <x v="5"/>
    <x v="0"/>
    <n v="10"/>
    <n v="10"/>
    <n v="7"/>
    <n v="3"/>
  </r>
  <r>
    <s v="ORD-0021"/>
    <s v="Lowrance Horsewood"/>
    <x v="0"/>
    <s v="Daily Moisturizer"/>
    <d v="2023-09-20T00:00:00"/>
    <d v="2023-09-24T00:00:00"/>
    <n v="2"/>
    <n v="5.5"/>
    <x v="1"/>
    <x v="4"/>
    <x v="2"/>
    <x v="1"/>
    <x v="10"/>
    <x v="4"/>
    <n v="4"/>
    <n v="11"/>
    <n v="6"/>
    <n v="5"/>
  </r>
  <r>
    <s v="ORD-0022"/>
    <s v="Jedd Townley"/>
    <x v="0"/>
    <s v="Night Cream"/>
    <d v="2024-09-07T00:00:00"/>
    <d v="2024-09-08T00:00:00"/>
    <n v="4"/>
    <n v="6.5"/>
    <x v="0"/>
    <x v="3"/>
    <x v="0"/>
    <x v="0"/>
    <x v="10"/>
    <x v="0"/>
    <n v="1"/>
    <n v="26"/>
    <n v="15"/>
    <n v="11"/>
  </r>
  <r>
    <s v="ORD-0023"/>
    <s v="Rodney Micklewicz"/>
    <x v="1"/>
    <s v="Sunscreen SPF 50"/>
    <d v="2024-09-01T00:00:00"/>
    <d v="2024-09-02T00:00:00"/>
    <n v="4"/>
    <n v="5"/>
    <x v="0"/>
    <x v="0"/>
    <x v="1"/>
    <x v="0"/>
    <x v="10"/>
    <x v="1"/>
    <n v="1"/>
    <n v="20"/>
    <n v="11"/>
    <n v="9"/>
  </r>
  <r>
    <s v="ORD-0024"/>
    <s v="Katalin Kisby"/>
    <x v="3"/>
    <s v="Hydrating Toner"/>
    <d v="2023-09-21T00:00:00"/>
    <d v="2023-09-25T00:00:00"/>
    <n v="3"/>
    <n v="4.25"/>
    <x v="0"/>
    <x v="0"/>
    <x v="1"/>
    <x v="1"/>
    <x v="10"/>
    <x v="5"/>
    <n v="4"/>
    <n v="12.75"/>
    <n v="6"/>
    <n v="6.75"/>
  </r>
  <r>
    <s v="ORD-0025"/>
    <s v="Jacinda Lainge"/>
    <x v="2"/>
    <s v="Niacinamide Serum"/>
    <d v="2024-06-23T00:00:00"/>
    <d v="2024-07-02T00:00:00"/>
    <n v="4"/>
    <n v="8"/>
    <x v="0"/>
    <x v="5"/>
    <x v="2"/>
    <x v="0"/>
    <x v="4"/>
    <x v="1"/>
    <n v="9"/>
    <n v="32"/>
    <n v="19"/>
    <n v="13"/>
  </r>
  <r>
    <s v="ORD-0026"/>
    <s v="Gene Frudd"/>
    <x v="2"/>
    <s v="Niacinamide Serum"/>
    <d v="2024-10-28T00:00:00"/>
    <d v="2024-11-05T00:00:00"/>
    <n v="5"/>
    <n v="8"/>
    <x v="0"/>
    <x v="0"/>
    <x v="2"/>
    <x v="0"/>
    <x v="7"/>
    <x v="2"/>
    <n v="8"/>
    <n v="40"/>
    <n v="23"/>
    <n v="17"/>
  </r>
  <r>
    <s v="ORD-0027"/>
    <s v="Lawry Brendish"/>
    <x v="0"/>
    <s v="Night Cream"/>
    <d v="2023-09-18T00:00:00"/>
    <d v="2023-09-19T00:00:00"/>
    <n v="2"/>
    <n v="6.5"/>
    <x v="0"/>
    <x v="0"/>
    <x v="1"/>
    <x v="1"/>
    <x v="10"/>
    <x v="2"/>
    <n v="1"/>
    <n v="13"/>
    <n v="8"/>
    <n v="5"/>
  </r>
  <r>
    <s v="ORD-0028"/>
    <s v="Nelli Bartul"/>
    <x v="0"/>
    <s v="Daily Moisturizer"/>
    <d v="2024-01-27T00:00:00"/>
    <d v="2024-01-28T00:00:00"/>
    <n v="4"/>
    <n v="5.5"/>
    <x v="0"/>
    <x v="0"/>
    <x v="2"/>
    <x v="0"/>
    <x v="11"/>
    <x v="0"/>
    <n v="1"/>
    <n v="22"/>
    <n v="11"/>
    <n v="11"/>
  </r>
  <r>
    <s v="ORD-0029"/>
    <s v="Charleen Brezlaw"/>
    <x v="3"/>
    <s v="Brightening Toner"/>
    <d v="2024-09-01T00:00:00"/>
    <d v="2024-09-07T00:00:00"/>
    <n v="5"/>
    <n v="4.5"/>
    <x v="0"/>
    <x v="1"/>
    <x v="1"/>
    <x v="0"/>
    <x v="10"/>
    <x v="1"/>
    <n v="6"/>
    <n v="22.5"/>
    <n v="12"/>
    <n v="10.5"/>
  </r>
  <r>
    <s v="ORD-0030"/>
    <s v="Roanne McGoldrick"/>
    <x v="2"/>
    <s v="Vitamin C Serum"/>
    <d v="2024-03-19T00:00:00"/>
    <d v="2024-03-27T00:00:00"/>
    <n v="4"/>
    <n v="8.5"/>
    <x v="0"/>
    <x v="5"/>
    <x v="1"/>
    <x v="0"/>
    <x v="0"/>
    <x v="3"/>
    <n v="8"/>
    <n v="34"/>
    <n v="20"/>
    <n v="14"/>
  </r>
  <r>
    <s v="ORD-0031"/>
    <s v="Issy Cano"/>
    <x v="0"/>
    <s v="Night Cream"/>
    <d v="2023-10-01T00:00:00"/>
    <d v="2023-10-02T00:00:00"/>
    <n v="1"/>
    <n v="6.5"/>
    <x v="0"/>
    <x v="3"/>
    <x v="1"/>
    <x v="1"/>
    <x v="7"/>
    <x v="1"/>
    <n v="1"/>
    <n v="6.5"/>
    <n v="4"/>
    <n v="2.5"/>
  </r>
  <r>
    <s v="ORD-0032"/>
    <s v="Farah Rizzone"/>
    <x v="4"/>
    <s v="Hydrating Cleanser"/>
    <d v="2024-06-03T00:00:00"/>
    <d v="2024-06-06T00:00:00"/>
    <n v="2"/>
    <n v="4"/>
    <x v="0"/>
    <x v="1"/>
    <x v="2"/>
    <x v="0"/>
    <x v="4"/>
    <x v="2"/>
    <n v="3"/>
    <n v="8"/>
    <n v="4"/>
    <n v="4"/>
  </r>
  <r>
    <s v="ORD-0033"/>
    <s v="Astrix Buglar"/>
    <x v="2"/>
    <s v="Niacinamide Serum"/>
    <d v="2024-04-15T00:00:00"/>
    <d v="2024-04-18T00:00:00"/>
    <n v="4"/>
    <n v="8"/>
    <x v="0"/>
    <x v="0"/>
    <x v="0"/>
    <x v="0"/>
    <x v="6"/>
    <x v="2"/>
    <n v="3"/>
    <n v="32"/>
    <n v="19"/>
    <n v="13"/>
  </r>
  <r>
    <s v="ORD-0034"/>
    <s v="Esme Allbrook"/>
    <x v="3"/>
    <s v="Acne Toner"/>
    <d v="2023-10-19T00:00:00"/>
    <d v="2023-10-25T00:00:00"/>
    <n v="1"/>
    <n v="4.5"/>
    <x v="0"/>
    <x v="5"/>
    <x v="2"/>
    <x v="1"/>
    <x v="7"/>
    <x v="5"/>
    <n v="6"/>
    <n v="4.5"/>
    <n v="2"/>
    <n v="2.5"/>
  </r>
  <r>
    <s v="ORD-0035"/>
    <s v="Karen Gailor"/>
    <x v="1"/>
    <s v="Matte Sunscreen"/>
    <d v="2024-05-11T00:00:00"/>
    <d v="2024-05-21T00:00:00"/>
    <n v="2"/>
    <n v="5.25"/>
    <x v="0"/>
    <x v="2"/>
    <x v="1"/>
    <x v="0"/>
    <x v="9"/>
    <x v="0"/>
    <n v="10"/>
    <n v="10.5"/>
    <n v="6"/>
    <n v="4.5"/>
  </r>
  <r>
    <s v="ORD-0036"/>
    <s v="Alissa Gras"/>
    <x v="2"/>
    <s v="Vitamin C Serum"/>
    <d v="2024-10-22T00:00:00"/>
    <d v="2024-10-23T00:00:00"/>
    <n v="5"/>
    <n v="8.5"/>
    <x v="0"/>
    <x v="2"/>
    <x v="0"/>
    <x v="0"/>
    <x v="7"/>
    <x v="3"/>
    <n v="1"/>
    <n v="42.5"/>
    <n v="26"/>
    <n v="16.5"/>
  </r>
  <r>
    <s v="ORD-0037"/>
    <s v="Dougie Giovani"/>
    <x v="4"/>
    <s v="Acne Cleanser"/>
    <d v="2023-07-26T00:00:00"/>
    <d v="2023-07-29T00:00:00"/>
    <n v="3"/>
    <n v="3.5"/>
    <x v="0"/>
    <x v="1"/>
    <x v="2"/>
    <x v="1"/>
    <x v="1"/>
    <x v="4"/>
    <n v="3"/>
    <n v="10.5"/>
    <n v="5"/>
    <n v="5.5"/>
  </r>
  <r>
    <s v="ORD-0038"/>
    <s v="Christabella Pine"/>
    <x v="1"/>
    <s v="Sensitive Sunscreen"/>
    <d v="2024-01-18T00:00:00"/>
    <d v="2024-01-25T00:00:00"/>
    <n v="5"/>
    <n v="5.5"/>
    <x v="0"/>
    <x v="0"/>
    <x v="1"/>
    <x v="0"/>
    <x v="11"/>
    <x v="5"/>
    <n v="7"/>
    <n v="27.5"/>
    <n v="17"/>
    <n v="10.5"/>
  </r>
  <r>
    <s v="ORD-0039"/>
    <s v="Doug Bower"/>
    <x v="4"/>
    <s v="Gentle Cleanser"/>
    <d v="2024-05-30T00:00:00"/>
    <d v="2024-06-01T00:00:00"/>
    <n v="5"/>
    <n v="3"/>
    <x v="0"/>
    <x v="0"/>
    <x v="0"/>
    <x v="0"/>
    <x v="9"/>
    <x v="5"/>
    <n v="2"/>
    <n v="15"/>
    <n v="7"/>
    <n v="8"/>
  </r>
  <r>
    <s v="ORD-0040"/>
    <s v="Marcel Rounce"/>
    <x v="0"/>
    <s v="Daily Moisturizer"/>
    <d v="2024-01-25T00:00:00"/>
    <d v="2024-01-28T00:00:00"/>
    <n v="1"/>
    <n v="5.5"/>
    <x v="0"/>
    <x v="4"/>
    <x v="2"/>
    <x v="0"/>
    <x v="11"/>
    <x v="5"/>
    <n v="3"/>
    <n v="5.5"/>
    <n v="3"/>
    <n v="2.5"/>
  </r>
  <r>
    <s v="ORD-0041"/>
    <s v="Selby Stebbin"/>
    <x v="4"/>
    <s v="Brightening Cleanser"/>
    <d v="2023-12-04T00:00:00"/>
    <d v="2023-12-10T00:00:00"/>
    <n v="4"/>
    <n v="3.75"/>
    <x v="0"/>
    <x v="3"/>
    <x v="0"/>
    <x v="1"/>
    <x v="8"/>
    <x v="2"/>
    <n v="6"/>
    <n v="15"/>
    <n v="8"/>
    <n v="7"/>
  </r>
  <r>
    <s v="ORD-0042"/>
    <s v="Gennie Smallcombe"/>
    <x v="2"/>
    <s v="Retinol Serum"/>
    <d v="2024-08-07T00:00:00"/>
    <d v="2024-08-20T00:00:00"/>
    <n v="2"/>
    <n v="10"/>
    <x v="0"/>
    <x v="0"/>
    <x v="0"/>
    <x v="0"/>
    <x v="5"/>
    <x v="4"/>
    <n v="13"/>
    <n v="20"/>
    <n v="13"/>
    <n v="7"/>
  </r>
  <r>
    <s v="ORD-0043"/>
    <s v="Rubie Dawber"/>
    <x v="2"/>
    <s v="Hyaluronic Acid Serum"/>
    <d v="2023-11-06T00:00:00"/>
    <d v="2023-11-12T00:00:00"/>
    <n v="2"/>
    <n v="8.75"/>
    <x v="0"/>
    <x v="0"/>
    <x v="2"/>
    <x v="1"/>
    <x v="2"/>
    <x v="2"/>
    <n v="6"/>
    <n v="17.5"/>
    <n v="10"/>
    <n v="7.5"/>
  </r>
  <r>
    <s v="ORD-0044"/>
    <s v="Celina Farnes"/>
    <x v="2"/>
    <s v="Retinol Serum"/>
    <d v="2024-07-18T00:00:00"/>
    <d v="2024-07-22T00:00:00"/>
    <n v="2"/>
    <n v="10"/>
    <x v="0"/>
    <x v="0"/>
    <x v="0"/>
    <x v="0"/>
    <x v="1"/>
    <x v="5"/>
    <n v="4"/>
    <n v="20"/>
    <n v="13"/>
    <n v="7"/>
  </r>
  <r>
    <s v="ORD-0045"/>
    <s v="Shani Gorry"/>
    <x v="1"/>
    <s v="Sunscreen SPF 50"/>
    <d v="2024-03-28T00:00:00"/>
    <d v="2024-03-31T00:00:00"/>
    <n v="1"/>
    <n v="5"/>
    <x v="0"/>
    <x v="1"/>
    <x v="2"/>
    <x v="0"/>
    <x v="0"/>
    <x v="5"/>
    <n v="3"/>
    <n v="5"/>
    <n v="3"/>
    <n v="2"/>
  </r>
  <r>
    <s v="ORD-0046"/>
    <s v="Shannon McDonnell"/>
    <x v="2"/>
    <s v="Hyaluronic Acid Serum"/>
    <d v="2024-02-14T00:00:00"/>
    <d v="2024-02-17T00:00:00"/>
    <n v="2"/>
    <n v="8.75"/>
    <x v="0"/>
    <x v="5"/>
    <x v="1"/>
    <x v="0"/>
    <x v="3"/>
    <x v="4"/>
    <n v="3"/>
    <n v="17.5"/>
    <n v="10"/>
    <n v="7.5"/>
  </r>
  <r>
    <s v="ORD-0047"/>
    <s v="Hollyanne Glanville"/>
    <x v="0"/>
    <s v="Daily Moisturizer"/>
    <d v="2024-05-25T00:00:00"/>
    <d v="2024-05-27T00:00:00"/>
    <n v="3"/>
    <n v="5.5"/>
    <x v="0"/>
    <x v="3"/>
    <x v="1"/>
    <x v="0"/>
    <x v="9"/>
    <x v="0"/>
    <n v="2"/>
    <n v="16.5"/>
    <n v="9"/>
    <n v="7.5"/>
  </r>
  <r>
    <s v="ORD-0048"/>
    <s v="Blake Itzkovici"/>
    <x v="0"/>
    <s v="Night Cream"/>
    <d v="2023-11-11T00:00:00"/>
    <d v="2023-11-14T00:00:00"/>
    <n v="2"/>
    <n v="6.5"/>
    <x v="0"/>
    <x v="0"/>
    <x v="1"/>
    <x v="1"/>
    <x v="2"/>
    <x v="0"/>
    <n v="3"/>
    <n v="13"/>
    <n v="8"/>
    <n v="5"/>
  </r>
  <r>
    <s v="ORD-0049"/>
    <s v="Melva Shedd"/>
    <x v="2"/>
    <s v="Vitamin C Serum"/>
    <d v="2023-11-15T00:00:00"/>
    <d v="2023-11-19T00:00:00"/>
    <n v="5"/>
    <n v="8.5"/>
    <x v="0"/>
    <x v="4"/>
    <x v="2"/>
    <x v="1"/>
    <x v="2"/>
    <x v="4"/>
    <n v="4"/>
    <n v="42.5"/>
    <n v="26"/>
    <n v="16.5"/>
  </r>
  <r>
    <s v="ORD-0050"/>
    <s v="Nyssa Steffans"/>
    <x v="3"/>
    <s v="Brightening Toner"/>
    <d v="2024-09-11T00:00:00"/>
    <d v="2024-09-17T00:00:00"/>
    <n v="1"/>
    <n v="4.5"/>
    <x v="0"/>
    <x v="1"/>
    <x v="2"/>
    <x v="0"/>
    <x v="10"/>
    <x v="4"/>
    <n v="6"/>
    <n v="4.5"/>
    <n v="2"/>
    <n v="2.5"/>
  </r>
  <r>
    <s v="ORD-0051"/>
    <s v="Evan Megahey"/>
    <x v="3"/>
    <s v="Hydrating Toner"/>
    <d v="2023-07-05T00:00:00"/>
    <d v="2023-07-07T00:00:00"/>
    <n v="2"/>
    <n v="4.25"/>
    <x v="0"/>
    <x v="0"/>
    <x v="2"/>
    <x v="1"/>
    <x v="1"/>
    <x v="4"/>
    <n v="2"/>
    <n v="8.5"/>
    <n v="4"/>
    <n v="4.5"/>
  </r>
  <r>
    <s v="ORD-0052"/>
    <s v="Lorelle Bareford"/>
    <x v="0"/>
    <s v="Daily Moisturizer"/>
    <d v="2024-09-02T00:00:00"/>
    <d v="2024-09-04T00:00:00"/>
    <n v="1"/>
    <n v="5.5"/>
    <x v="0"/>
    <x v="4"/>
    <x v="0"/>
    <x v="0"/>
    <x v="10"/>
    <x v="2"/>
    <n v="2"/>
    <n v="5.5"/>
    <n v="3"/>
    <n v="2.5"/>
  </r>
  <r>
    <s v="ORD-0053"/>
    <s v="Delphine Rutherford"/>
    <x v="4"/>
    <s v="Acne Cleanser"/>
    <d v="2024-06-27T00:00:00"/>
    <d v="2024-06-29T00:00:00"/>
    <n v="2"/>
    <n v="3.5"/>
    <x v="0"/>
    <x v="1"/>
    <x v="0"/>
    <x v="0"/>
    <x v="4"/>
    <x v="5"/>
    <n v="2"/>
    <n v="7"/>
    <n v="3"/>
    <n v="4"/>
  </r>
  <r>
    <s v="ORD-0054"/>
    <s v="Kasper Jarrel"/>
    <x v="2"/>
    <s v="Niacinamide Serum"/>
    <d v="2024-03-20T00:00:00"/>
    <d v="2024-03-21T00:00:00"/>
    <n v="3"/>
    <n v="8"/>
    <x v="0"/>
    <x v="1"/>
    <x v="0"/>
    <x v="0"/>
    <x v="0"/>
    <x v="4"/>
    <n v="1"/>
    <n v="24"/>
    <n v="14"/>
    <n v="10"/>
  </r>
  <r>
    <s v="ORD-0055"/>
    <s v="Clarie Kitchener"/>
    <x v="3"/>
    <s v="Hydrating Toner"/>
    <d v="2024-02-01T00:00:00"/>
    <d v="2024-02-04T00:00:00"/>
    <n v="1"/>
    <n v="4.25"/>
    <x v="1"/>
    <x v="0"/>
    <x v="2"/>
    <x v="0"/>
    <x v="3"/>
    <x v="5"/>
    <n v="3"/>
    <n v="4.25"/>
    <n v="2"/>
    <n v="2.25"/>
  </r>
  <r>
    <s v="ORD-0056"/>
    <s v="Essy Cargill"/>
    <x v="0"/>
    <s v="Night Cream"/>
    <d v="2023-08-22T00:00:00"/>
    <d v="2023-09-01T00:00:00"/>
    <n v="2"/>
    <n v="6.5"/>
    <x v="0"/>
    <x v="1"/>
    <x v="2"/>
    <x v="1"/>
    <x v="5"/>
    <x v="3"/>
    <n v="10"/>
    <n v="13"/>
    <n v="8"/>
    <n v="5"/>
  </r>
  <r>
    <s v="ORD-0057"/>
    <s v="Heida Mockford"/>
    <x v="4"/>
    <s v="Gentle Cleanser"/>
    <d v="2023-11-02T00:00:00"/>
    <d v="2023-11-04T00:00:00"/>
    <n v="5"/>
    <n v="3"/>
    <x v="0"/>
    <x v="1"/>
    <x v="1"/>
    <x v="1"/>
    <x v="2"/>
    <x v="5"/>
    <n v="2"/>
    <n v="15"/>
    <n v="7"/>
    <n v="8"/>
  </r>
  <r>
    <s v="ORD-0058"/>
    <s v="Caesar Pirelli"/>
    <x v="0"/>
    <s v="Daily Moisturizer"/>
    <d v="2023-12-09T00:00:00"/>
    <d v="2023-12-10T00:00:00"/>
    <n v="2"/>
    <n v="5.5"/>
    <x v="0"/>
    <x v="0"/>
    <x v="1"/>
    <x v="1"/>
    <x v="8"/>
    <x v="0"/>
    <n v="1"/>
    <n v="11"/>
    <n v="6"/>
    <n v="5"/>
  </r>
  <r>
    <s v="ORD-0059"/>
    <s v="Jory Gerbi"/>
    <x v="4"/>
    <s v="Gentle Cleanser"/>
    <d v="2023-10-09T00:00:00"/>
    <d v="2023-10-10T00:00:00"/>
    <n v="1"/>
    <n v="3"/>
    <x v="0"/>
    <x v="4"/>
    <x v="1"/>
    <x v="1"/>
    <x v="7"/>
    <x v="2"/>
    <n v="1"/>
    <n v="3"/>
    <n v="1"/>
    <n v="2"/>
  </r>
  <r>
    <s v="ORD-0060"/>
    <s v="Teressa Denney"/>
    <x v="2"/>
    <s v="Vitamin C Serum"/>
    <d v="2024-03-07T00:00:00"/>
    <d v="2024-03-10T00:00:00"/>
    <n v="5"/>
    <n v="8.5"/>
    <x v="0"/>
    <x v="3"/>
    <x v="0"/>
    <x v="0"/>
    <x v="0"/>
    <x v="5"/>
    <n v="3"/>
    <n v="42.5"/>
    <n v="26"/>
    <n v="16.5"/>
  </r>
  <r>
    <s v="ORD-0061"/>
    <s v="Dulci Lambillion"/>
    <x v="0"/>
    <s v="Gel Moisturizer"/>
    <d v="2024-01-17T00:00:00"/>
    <d v="2024-01-18T00:00:00"/>
    <n v="1"/>
    <n v="5.75"/>
    <x v="0"/>
    <x v="1"/>
    <x v="2"/>
    <x v="0"/>
    <x v="11"/>
    <x v="4"/>
    <n v="1"/>
    <n v="5.75"/>
    <n v="3"/>
    <n v="2.75"/>
  </r>
  <r>
    <s v="ORD-0062"/>
    <s v="Magdalen Mouan"/>
    <x v="1"/>
    <s v="Matte Sunscreen"/>
    <d v="2023-07-29T00:00:00"/>
    <d v="2023-08-01T00:00:00"/>
    <n v="4"/>
    <n v="5.25"/>
    <x v="0"/>
    <x v="1"/>
    <x v="2"/>
    <x v="1"/>
    <x v="1"/>
    <x v="0"/>
    <n v="3"/>
    <n v="21"/>
    <n v="12"/>
    <n v="9"/>
  </r>
  <r>
    <s v="ORD-0063"/>
    <s v="Charis Peckett"/>
    <x v="4"/>
    <s v="Hydrating Cleanser"/>
    <d v="2023-07-28T00:00:00"/>
    <d v="2023-07-30T00:00:00"/>
    <n v="1"/>
    <n v="4"/>
    <x v="0"/>
    <x v="1"/>
    <x v="0"/>
    <x v="1"/>
    <x v="1"/>
    <x v="6"/>
    <n v="2"/>
    <n v="4"/>
    <n v="2"/>
    <n v="2"/>
  </r>
  <r>
    <s v="ORD-0064"/>
    <s v="Darbie Gerb"/>
    <x v="2"/>
    <s v="Hyaluronic Acid Serum"/>
    <d v="2023-09-30T00:00:00"/>
    <d v="2023-10-04T00:00:00"/>
    <n v="4"/>
    <n v="8.75"/>
    <x v="0"/>
    <x v="0"/>
    <x v="1"/>
    <x v="1"/>
    <x v="10"/>
    <x v="0"/>
    <n v="4"/>
    <n v="35"/>
    <n v="20"/>
    <n v="15"/>
  </r>
  <r>
    <s v="ORD-0065"/>
    <s v="Karl Bjerkan"/>
    <x v="4"/>
    <s v="Acne Cleanser"/>
    <d v="2023-11-05T00:00:00"/>
    <d v="2023-11-09T00:00:00"/>
    <n v="5"/>
    <n v="3.5"/>
    <x v="0"/>
    <x v="0"/>
    <x v="2"/>
    <x v="1"/>
    <x v="2"/>
    <x v="1"/>
    <n v="4"/>
    <n v="17.5"/>
    <n v="8"/>
    <n v="9.5"/>
  </r>
  <r>
    <s v="ORD-0066"/>
    <s v="Terrye Cullinane"/>
    <x v="1"/>
    <s v="Sunscreen SPF 50"/>
    <d v="2024-09-20T00:00:00"/>
    <d v="2024-09-24T00:00:00"/>
    <n v="5"/>
    <n v="5"/>
    <x v="0"/>
    <x v="3"/>
    <x v="2"/>
    <x v="0"/>
    <x v="10"/>
    <x v="6"/>
    <n v="4"/>
    <n v="25"/>
    <n v="14"/>
    <n v="11"/>
  </r>
  <r>
    <s v="ORD-0067"/>
    <s v="Jerrilee Corder"/>
    <x v="0"/>
    <s v="Night Cream"/>
    <d v="2024-07-09T00:00:00"/>
    <d v="2024-07-13T00:00:00"/>
    <n v="1"/>
    <n v="6.5"/>
    <x v="0"/>
    <x v="1"/>
    <x v="0"/>
    <x v="0"/>
    <x v="1"/>
    <x v="3"/>
    <n v="4"/>
    <n v="6.5"/>
    <n v="4"/>
    <n v="2.5"/>
  </r>
  <r>
    <s v="ORD-0068"/>
    <s v="Pauli Zannuto"/>
    <x v="0"/>
    <s v="Gel Moisturizer"/>
    <d v="2023-07-13T00:00:00"/>
    <d v="2023-07-14T00:00:00"/>
    <n v="5"/>
    <n v="5.75"/>
    <x v="0"/>
    <x v="5"/>
    <x v="1"/>
    <x v="1"/>
    <x v="1"/>
    <x v="5"/>
    <n v="1"/>
    <n v="28.75"/>
    <n v="14"/>
    <n v="14.75"/>
  </r>
  <r>
    <s v="ORD-0069"/>
    <s v="Rani Hayhurst"/>
    <x v="4"/>
    <s v="Brightening Cleanser"/>
    <d v="2024-08-02T00:00:00"/>
    <d v="2024-08-07T00:00:00"/>
    <n v="3"/>
    <n v="3.75"/>
    <x v="0"/>
    <x v="4"/>
    <x v="1"/>
    <x v="0"/>
    <x v="5"/>
    <x v="6"/>
    <n v="5"/>
    <n v="11.25"/>
    <n v="6"/>
    <n v="5.25"/>
  </r>
  <r>
    <s v="ORD-0070"/>
    <s v="Hobard Vedeneev"/>
    <x v="0"/>
    <s v="Repair Cream"/>
    <d v="2024-07-17T00:00:00"/>
    <d v="2024-07-27T00:00:00"/>
    <n v="4"/>
    <n v="6.25"/>
    <x v="1"/>
    <x v="1"/>
    <x v="2"/>
    <x v="0"/>
    <x v="1"/>
    <x v="4"/>
    <n v="10"/>
    <n v="25"/>
    <n v="14"/>
    <n v="11"/>
  </r>
  <r>
    <s v="ORD-0071"/>
    <s v="Hulda Scarlon"/>
    <x v="4"/>
    <s v="Gentle Cleanser"/>
    <d v="2023-11-19T00:00:00"/>
    <d v="2023-12-01T00:00:00"/>
    <n v="3"/>
    <n v="3"/>
    <x v="0"/>
    <x v="4"/>
    <x v="1"/>
    <x v="1"/>
    <x v="2"/>
    <x v="1"/>
    <n v="12"/>
    <n v="9"/>
    <n v="4"/>
    <n v="5"/>
  </r>
  <r>
    <s v="ORD-0072"/>
    <s v="Klara MacCambridge"/>
    <x v="4"/>
    <s v="Gentle Cleanser"/>
    <d v="2024-06-21T00:00:00"/>
    <d v="2024-06-23T00:00:00"/>
    <n v="3"/>
    <n v="3"/>
    <x v="0"/>
    <x v="0"/>
    <x v="2"/>
    <x v="0"/>
    <x v="4"/>
    <x v="6"/>
    <n v="2"/>
    <n v="9"/>
    <n v="4"/>
    <n v="5"/>
  </r>
  <r>
    <s v="ORD-0073"/>
    <s v="Nico Philson"/>
    <x v="4"/>
    <s v="Acne Cleanser"/>
    <d v="2023-10-19T00:00:00"/>
    <d v="2023-10-30T00:00:00"/>
    <n v="5"/>
    <n v="3.5"/>
    <x v="1"/>
    <x v="1"/>
    <x v="2"/>
    <x v="1"/>
    <x v="7"/>
    <x v="5"/>
    <n v="11"/>
    <n v="17.5"/>
    <n v="8"/>
    <n v="9.5"/>
  </r>
  <r>
    <s v="ORD-0074"/>
    <s v="Elfrida Rounsefull"/>
    <x v="1"/>
    <s v="Sensitive Sunscreen"/>
    <d v="2024-03-24T00:00:00"/>
    <d v="2024-03-27T00:00:00"/>
    <n v="3"/>
    <n v="5.5"/>
    <x v="0"/>
    <x v="0"/>
    <x v="2"/>
    <x v="0"/>
    <x v="0"/>
    <x v="1"/>
    <n v="3"/>
    <n v="16.5"/>
    <n v="10"/>
    <n v="6.5"/>
  </r>
  <r>
    <s v="ORD-0075"/>
    <s v="Early Goldspink"/>
    <x v="1"/>
    <s v="Sensitive Sunscreen"/>
    <d v="2023-07-03T00:00:00"/>
    <d v="2023-07-10T00:00:00"/>
    <n v="3"/>
    <n v="5.5"/>
    <x v="0"/>
    <x v="0"/>
    <x v="0"/>
    <x v="1"/>
    <x v="1"/>
    <x v="2"/>
    <n v="7"/>
    <n v="16.5"/>
    <n v="10"/>
    <n v="6.5"/>
  </r>
  <r>
    <s v="ORD-0076"/>
    <s v="Alexine Steggles"/>
    <x v="1"/>
    <s v="Sunscreen SPF 30"/>
    <d v="2023-08-07T00:00:00"/>
    <d v="2023-08-10T00:00:00"/>
    <n v="5"/>
    <n v="4.75"/>
    <x v="1"/>
    <x v="5"/>
    <x v="0"/>
    <x v="1"/>
    <x v="5"/>
    <x v="2"/>
    <n v="3"/>
    <n v="23.75"/>
    <n v="13"/>
    <n v="10.75"/>
  </r>
  <r>
    <s v="ORD-0077"/>
    <s v="Culver Worgan"/>
    <x v="4"/>
    <s v="Hydrating Cleanser"/>
    <d v="2023-08-19T00:00:00"/>
    <d v="2023-08-22T00:00:00"/>
    <n v="3"/>
    <n v="4"/>
    <x v="0"/>
    <x v="4"/>
    <x v="2"/>
    <x v="1"/>
    <x v="5"/>
    <x v="0"/>
    <n v="3"/>
    <n v="12"/>
    <n v="6"/>
    <n v="6"/>
  </r>
  <r>
    <s v="ORD-0078"/>
    <s v="Derrek Crysell"/>
    <x v="3"/>
    <s v="Acne Toner"/>
    <d v="2024-06-04T00:00:00"/>
    <d v="2024-06-06T00:00:00"/>
    <n v="3"/>
    <n v="4.5"/>
    <x v="0"/>
    <x v="0"/>
    <x v="0"/>
    <x v="0"/>
    <x v="4"/>
    <x v="3"/>
    <n v="2"/>
    <n v="13.5"/>
    <n v="7"/>
    <n v="6.5"/>
  </r>
  <r>
    <s v="ORD-0079"/>
    <s v="Archaimbaud Neachell"/>
    <x v="4"/>
    <s v="Acne Cleanser"/>
    <d v="2023-12-31T00:00:00"/>
    <d v="2024-01-07T00:00:00"/>
    <n v="2"/>
    <n v="3.5"/>
    <x v="0"/>
    <x v="2"/>
    <x v="2"/>
    <x v="1"/>
    <x v="8"/>
    <x v="1"/>
    <n v="7"/>
    <n v="7"/>
    <n v="3"/>
    <n v="4"/>
  </r>
  <r>
    <s v="ORD-0080"/>
    <s v="Jaclyn Dring"/>
    <x v="3"/>
    <s v="Acne Toner"/>
    <d v="2023-07-17T00:00:00"/>
    <d v="2023-07-20T00:00:00"/>
    <n v="5"/>
    <n v="4.5"/>
    <x v="1"/>
    <x v="0"/>
    <x v="1"/>
    <x v="1"/>
    <x v="1"/>
    <x v="2"/>
    <n v="3"/>
    <n v="22.5"/>
    <n v="11"/>
    <n v="11.5"/>
  </r>
  <r>
    <s v="ORD-0081"/>
    <s v="Christoforo Ellyatt"/>
    <x v="1"/>
    <s v="Sensitive Sunscreen"/>
    <d v="2024-05-30T00:00:00"/>
    <d v="2024-06-02T00:00:00"/>
    <n v="2"/>
    <n v="5.5"/>
    <x v="0"/>
    <x v="0"/>
    <x v="1"/>
    <x v="0"/>
    <x v="9"/>
    <x v="5"/>
    <n v="3"/>
    <n v="11"/>
    <n v="7"/>
    <n v="4"/>
  </r>
  <r>
    <s v="ORD-0082"/>
    <s v="Shermie Orrice"/>
    <x v="2"/>
    <s v="Vitamin C Serum"/>
    <d v="2023-07-19T00:00:00"/>
    <d v="2023-07-31T00:00:00"/>
    <n v="4"/>
    <n v="8.5"/>
    <x v="0"/>
    <x v="0"/>
    <x v="1"/>
    <x v="1"/>
    <x v="1"/>
    <x v="4"/>
    <n v="12"/>
    <n v="34"/>
    <n v="20"/>
    <n v="14"/>
  </r>
  <r>
    <s v="ORD-0083"/>
    <s v="Natassia Acome"/>
    <x v="4"/>
    <s v="Gentle Cleanser"/>
    <d v="2023-10-18T00:00:00"/>
    <d v="2023-10-21T00:00:00"/>
    <n v="5"/>
    <n v="3"/>
    <x v="0"/>
    <x v="0"/>
    <x v="1"/>
    <x v="1"/>
    <x v="7"/>
    <x v="4"/>
    <n v="3"/>
    <n v="15"/>
    <n v="7"/>
    <n v="8"/>
  </r>
  <r>
    <s v="ORD-0084"/>
    <s v="Murvyn Rawlingson"/>
    <x v="3"/>
    <s v="Acne Toner"/>
    <d v="2024-04-13T00:00:00"/>
    <d v="2024-04-20T00:00:00"/>
    <n v="5"/>
    <n v="4.5"/>
    <x v="0"/>
    <x v="0"/>
    <x v="2"/>
    <x v="0"/>
    <x v="6"/>
    <x v="0"/>
    <n v="7"/>
    <n v="22.5"/>
    <n v="11"/>
    <n v="11.5"/>
  </r>
  <r>
    <s v="ORD-0085"/>
    <s v="Reagan Laste"/>
    <x v="0"/>
    <s v="Night Cream"/>
    <d v="2024-09-15T00:00:00"/>
    <d v="2024-09-16T00:00:00"/>
    <n v="5"/>
    <n v="6.5"/>
    <x v="0"/>
    <x v="2"/>
    <x v="0"/>
    <x v="0"/>
    <x v="10"/>
    <x v="1"/>
    <n v="1"/>
    <n v="32.5"/>
    <n v="19"/>
    <n v="13.5"/>
  </r>
  <r>
    <s v="ORD-0086"/>
    <s v="Waylan Saggs"/>
    <x v="4"/>
    <s v="Gentle Cleanser"/>
    <d v="2024-06-19T00:00:00"/>
    <d v="2024-06-20T00:00:00"/>
    <n v="1"/>
    <n v="3"/>
    <x v="0"/>
    <x v="0"/>
    <x v="2"/>
    <x v="0"/>
    <x v="4"/>
    <x v="4"/>
    <n v="1"/>
    <n v="3"/>
    <n v="1"/>
    <n v="2"/>
  </r>
  <r>
    <s v="ORD-0087"/>
    <s v="Dionne Gallen"/>
    <x v="1"/>
    <s v="Sensitive Sunscreen"/>
    <d v="2024-01-14T00:00:00"/>
    <d v="2024-01-17T00:00:00"/>
    <n v="5"/>
    <n v="5.5"/>
    <x v="0"/>
    <x v="0"/>
    <x v="0"/>
    <x v="0"/>
    <x v="11"/>
    <x v="1"/>
    <n v="3"/>
    <n v="27.5"/>
    <n v="17"/>
    <n v="10.5"/>
  </r>
  <r>
    <s v="ORD-0088"/>
    <s v="Ermanno Bolitho"/>
    <x v="0"/>
    <s v="Daily Moisturizer"/>
    <d v="2024-06-30T00:00:00"/>
    <d v="2024-07-01T00:00:00"/>
    <n v="3"/>
    <n v="5.5"/>
    <x v="0"/>
    <x v="4"/>
    <x v="0"/>
    <x v="0"/>
    <x v="4"/>
    <x v="1"/>
    <n v="1"/>
    <n v="16.5"/>
    <n v="9"/>
    <n v="7.5"/>
  </r>
  <r>
    <s v="ORD-0089"/>
    <s v="Quintin Quilty"/>
    <x v="0"/>
    <s v="Daily Moisturizer"/>
    <d v="2023-12-27T00:00:00"/>
    <d v="2023-12-29T00:00:00"/>
    <n v="3"/>
    <n v="5.5"/>
    <x v="0"/>
    <x v="0"/>
    <x v="2"/>
    <x v="1"/>
    <x v="8"/>
    <x v="4"/>
    <n v="2"/>
    <n v="16.5"/>
    <n v="9"/>
    <n v="7.5"/>
  </r>
  <r>
    <s v="ORD-0090"/>
    <s v="Faye Jervis"/>
    <x v="2"/>
    <s v="Niacinamide Serum"/>
    <d v="2023-07-30T00:00:00"/>
    <d v="2023-08-01T00:00:00"/>
    <n v="1"/>
    <n v="8"/>
    <x v="1"/>
    <x v="1"/>
    <x v="0"/>
    <x v="1"/>
    <x v="1"/>
    <x v="1"/>
    <n v="2"/>
    <n v="8"/>
    <n v="5"/>
    <n v="3"/>
  </r>
  <r>
    <s v="ORD-0091"/>
    <s v="Ossie Morriss"/>
    <x v="3"/>
    <s v="Acne Toner"/>
    <d v="2024-10-03T00:00:00"/>
    <d v="2024-10-05T00:00:00"/>
    <n v="3"/>
    <n v="4.5"/>
    <x v="0"/>
    <x v="5"/>
    <x v="1"/>
    <x v="0"/>
    <x v="7"/>
    <x v="5"/>
    <n v="2"/>
    <n v="13.5"/>
    <n v="7"/>
    <n v="6.5"/>
  </r>
  <r>
    <s v="ORD-0092"/>
    <s v="Elfrida Urpeth"/>
    <x v="2"/>
    <s v="Niacinamide Serum"/>
    <d v="2024-05-23T00:00:00"/>
    <d v="2024-05-26T00:00:00"/>
    <n v="2"/>
    <n v="8"/>
    <x v="0"/>
    <x v="2"/>
    <x v="2"/>
    <x v="0"/>
    <x v="9"/>
    <x v="5"/>
    <n v="3"/>
    <n v="16"/>
    <n v="9"/>
    <n v="7"/>
  </r>
  <r>
    <s v="ORD-0093"/>
    <s v="Basil Seppey"/>
    <x v="0"/>
    <s v="Gel Moisturizer"/>
    <d v="2024-09-25T00:00:00"/>
    <d v="2024-09-30T00:00:00"/>
    <n v="2"/>
    <n v="5.75"/>
    <x v="0"/>
    <x v="1"/>
    <x v="2"/>
    <x v="0"/>
    <x v="10"/>
    <x v="4"/>
    <n v="5"/>
    <n v="11.5"/>
    <n v="6"/>
    <n v="5.5"/>
  </r>
  <r>
    <s v="ORD-0094"/>
    <s v="Cassondra Kimmerling"/>
    <x v="1"/>
    <s v="Sunscreen SPF 30"/>
    <d v="2024-03-02T00:00:00"/>
    <d v="2024-03-05T00:00:00"/>
    <n v="4"/>
    <n v="4.75"/>
    <x v="0"/>
    <x v="0"/>
    <x v="1"/>
    <x v="0"/>
    <x v="0"/>
    <x v="0"/>
    <n v="3"/>
    <n v="19"/>
    <n v="10"/>
    <n v="9"/>
  </r>
  <r>
    <s v="ORD-0095"/>
    <s v="Birk Stracey"/>
    <x v="4"/>
    <s v="Gentle Cleanser"/>
    <d v="2024-02-01T00:00:00"/>
    <d v="2024-02-02T00:00:00"/>
    <n v="2"/>
    <n v="3"/>
    <x v="0"/>
    <x v="5"/>
    <x v="2"/>
    <x v="0"/>
    <x v="3"/>
    <x v="5"/>
    <n v="1"/>
    <n v="6"/>
    <n v="3"/>
    <n v="3"/>
  </r>
  <r>
    <s v="ORD-0096"/>
    <s v="Chandler Headech"/>
    <x v="3"/>
    <s v="Acne Toner"/>
    <d v="2024-09-29T00:00:00"/>
    <d v="2024-09-30T00:00:00"/>
    <n v="2"/>
    <n v="4.5"/>
    <x v="0"/>
    <x v="5"/>
    <x v="1"/>
    <x v="0"/>
    <x v="10"/>
    <x v="1"/>
    <n v="1"/>
    <n v="9"/>
    <n v="5"/>
    <n v="4"/>
  </r>
  <r>
    <s v="ORD-0097"/>
    <s v="Fonz Paute"/>
    <x v="0"/>
    <s v="Daily Moisturizer"/>
    <d v="2023-07-25T00:00:00"/>
    <d v="2023-07-29T00:00:00"/>
    <n v="2"/>
    <n v="5.5"/>
    <x v="1"/>
    <x v="1"/>
    <x v="2"/>
    <x v="1"/>
    <x v="1"/>
    <x v="3"/>
    <n v="4"/>
    <n v="11"/>
    <n v="6"/>
    <n v="5"/>
  </r>
  <r>
    <s v="ORD-0098"/>
    <s v="Etti Balham"/>
    <x v="0"/>
    <s v="Daily Moisturizer"/>
    <d v="2024-01-24T00:00:00"/>
    <d v="2024-01-30T00:00:00"/>
    <n v="1"/>
    <n v="5.5"/>
    <x v="0"/>
    <x v="2"/>
    <x v="2"/>
    <x v="0"/>
    <x v="11"/>
    <x v="4"/>
    <n v="6"/>
    <n v="5.5"/>
    <n v="3"/>
    <n v="2.5"/>
  </r>
  <r>
    <s v="ORD-0099"/>
    <s v="Kamila Arkow"/>
    <x v="2"/>
    <s v="Vitamin C Serum"/>
    <d v="2024-08-12T00:00:00"/>
    <d v="2024-08-15T00:00:00"/>
    <n v="2"/>
    <n v="8.5"/>
    <x v="0"/>
    <x v="0"/>
    <x v="1"/>
    <x v="0"/>
    <x v="5"/>
    <x v="2"/>
    <n v="3"/>
    <n v="17"/>
    <n v="10"/>
    <n v="7"/>
  </r>
  <r>
    <s v="ORD-0100"/>
    <s v="Boot Kingsmill"/>
    <x v="0"/>
    <s v="Repair Cream"/>
    <d v="2023-10-11T00:00:00"/>
    <d v="2023-10-14T00:00:00"/>
    <n v="5"/>
    <n v="6.25"/>
    <x v="0"/>
    <x v="0"/>
    <x v="2"/>
    <x v="1"/>
    <x v="7"/>
    <x v="4"/>
    <n v="3"/>
    <n v="31.25"/>
    <n v="17"/>
    <n v="14.25"/>
  </r>
  <r>
    <s v="ORD-0101"/>
    <s v="Vincents Youdell"/>
    <x v="4"/>
    <s v="Gentle Cleanser"/>
    <d v="2024-04-14T00:00:00"/>
    <d v="2024-04-15T00:00:00"/>
    <n v="4"/>
    <n v="3"/>
    <x v="0"/>
    <x v="0"/>
    <x v="0"/>
    <x v="0"/>
    <x v="6"/>
    <x v="1"/>
    <n v="1"/>
    <n v="12"/>
    <n v="6"/>
    <n v="6"/>
  </r>
  <r>
    <s v="ORD-0102"/>
    <s v="Ingeborg Cultcheth"/>
    <x v="1"/>
    <s v="Matte Sunscreen"/>
    <d v="2024-02-24T00:00:00"/>
    <d v="2024-02-26T00:00:00"/>
    <n v="3"/>
    <n v="5.25"/>
    <x v="0"/>
    <x v="0"/>
    <x v="2"/>
    <x v="0"/>
    <x v="3"/>
    <x v="0"/>
    <n v="2"/>
    <n v="15.75"/>
    <n v="9"/>
    <n v="6.75"/>
  </r>
  <r>
    <s v="ORD-0103"/>
    <s v="Ariadne Bellanger"/>
    <x v="4"/>
    <s v="Acne Cleanser"/>
    <d v="2023-08-17T00:00:00"/>
    <d v="2023-08-21T00:00:00"/>
    <n v="5"/>
    <n v="3.5"/>
    <x v="0"/>
    <x v="1"/>
    <x v="2"/>
    <x v="1"/>
    <x v="5"/>
    <x v="5"/>
    <n v="4"/>
    <n v="17.5"/>
    <n v="8"/>
    <n v="9.5"/>
  </r>
  <r>
    <s v="ORD-0104"/>
    <s v="Farlay Braune"/>
    <x v="4"/>
    <s v="Gentle Cleanser"/>
    <d v="2024-09-03T00:00:00"/>
    <d v="2024-09-04T00:00:00"/>
    <n v="1"/>
    <n v="3"/>
    <x v="0"/>
    <x v="1"/>
    <x v="1"/>
    <x v="0"/>
    <x v="10"/>
    <x v="3"/>
    <n v="1"/>
    <n v="3"/>
    <n v="1"/>
    <n v="2"/>
  </r>
  <r>
    <s v="ORD-0105"/>
    <s v="Aldon Corter"/>
    <x v="4"/>
    <s v="Hydrating Cleanser"/>
    <d v="2024-09-22T00:00:00"/>
    <d v="2024-10-06T00:00:00"/>
    <n v="2"/>
    <n v="4"/>
    <x v="0"/>
    <x v="1"/>
    <x v="0"/>
    <x v="0"/>
    <x v="10"/>
    <x v="1"/>
    <n v="14"/>
    <n v="8"/>
    <n v="4"/>
    <n v="4"/>
  </r>
  <r>
    <s v="ORD-0106"/>
    <s v="Cordy Younger"/>
    <x v="4"/>
    <s v="Gentle Cleanser"/>
    <d v="2024-02-19T00:00:00"/>
    <d v="2024-02-22T00:00:00"/>
    <n v="4"/>
    <n v="3"/>
    <x v="0"/>
    <x v="0"/>
    <x v="1"/>
    <x v="0"/>
    <x v="3"/>
    <x v="2"/>
    <n v="3"/>
    <n v="12"/>
    <n v="6"/>
    <n v="6"/>
  </r>
  <r>
    <s v="ORD-0107"/>
    <s v="Emelda Davys"/>
    <x v="2"/>
    <s v="Vitamin C Serum"/>
    <d v="2024-06-26T00:00:00"/>
    <d v="2024-06-29T00:00:00"/>
    <n v="2"/>
    <n v="8.5"/>
    <x v="0"/>
    <x v="1"/>
    <x v="2"/>
    <x v="0"/>
    <x v="4"/>
    <x v="4"/>
    <n v="3"/>
    <n v="17"/>
    <n v="10"/>
    <n v="7"/>
  </r>
  <r>
    <s v="ORD-0108"/>
    <s v="Chastity Book"/>
    <x v="1"/>
    <s v="Sunscreen SPF 50"/>
    <d v="2023-09-23T00:00:00"/>
    <d v="2023-09-26T00:00:00"/>
    <n v="2"/>
    <n v="5"/>
    <x v="0"/>
    <x v="4"/>
    <x v="0"/>
    <x v="1"/>
    <x v="10"/>
    <x v="0"/>
    <n v="3"/>
    <n v="10"/>
    <n v="6"/>
    <n v="4"/>
  </r>
  <r>
    <s v="ORD-0109"/>
    <s v="Tobi Mc Caughen"/>
    <x v="4"/>
    <s v="Gentle Cleanser"/>
    <d v="2024-07-14T00:00:00"/>
    <d v="2024-07-15T00:00:00"/>
    <n v="4"/>
    <n v="3"/>
    <x v="0"/>
    <x v="1"/>
    <x v="1"/>
    <x v="0"/>
    <x v="1"/>
    <x v="1"/>
    <n v="1"/>
    <n v="12"/>
    <n v="6"/>
    <n v="6"/>
  </r>
  <r>
    <s v="ORD-0110"/>
    <s v="Caldwell Fitzhenry"/>
    <x v="1"/>
    <s v="Matte Sunscreen"/>
    <d v="2023-12-19T00:00:00"/>
    <d v="2023-12-23T00:00:00"/>
    <n v="1"/>
    <n v="5.25"/>
    <x v="1"/>
    <x v="0"/>
    <x v="2"/>
    <x v="1"/>
    <x v="8"/>
    <x v="3"/>
    <n v="4"/>
    <n v="5.25"/>
    <n v="3"/>
    <n v="2.25"/>
  </r>
  <r>
    <s v="ORD-0111"/>
    <s v="Haily Hathorn"/>
    <x v="4"/>
    <s v="Gentle Cleanser"/>
    <d v="2024-03-13T00:00:00"/>
    <d v="2024-03-17T00:00:00"/>
    <n v="5"/>
    <n v="3"/>
    <x v="0"/>
    <x v="4"/>
    <x v="2"/>
    <x v="0"/>
    <x v="0"/>
    <x v="4"/>
    <n v="4"/>
    <n v="15"/>
    <n v="7"/>
    <n v="8"/>
  </r>
  <r>
    <s v="ORD-0112"/>
    <s v="Gusti McKechnie"/>
    <x v="3"/>
    <s v="Hydrating Toner"/>
    <d v="2024-09-17T00:00:00"/>
    <d v="2024-09-20T00:00:00"/>
    <n v="1"/>
    <n v="4.25"/>
    <x v="0"/>
    <x v="4"/>
    <x v="2"/>
    <x v="0"/>
    <x v="10"/>
    <x v="3"/>
    <n v="3"/>
    <n v="4.25"/>
    <n v="2"/>
    <n v="2.25"/>
  </r>
  <r>
    <s v="ORD-0113"/>
    <s v="Enrika Lydster"/>
    <x v="4"/>
    <s v="Brightening Cleanser"/>
    <d v="2023-10-31T00:00:00"/>
    <d v="2023-11-01T00:00:00"/>
    <n v="2"/>
    <n v="3.75"/>
    <x v="0"/>
    <x v="0"/>
    <x v="0"/>
    <x v="1"/>
    <x v="7"/>
    <x v="3"/>
    <n v="1"/>
    <n v="7.5"/>
    <n v="4"/>
    <n v="3.5"/>
  </r>
  <r>
    <s v="ORD-0114"/>
    <s v="Harwilll Steagall"/>
    <x v="2"/>
    <s v="Hyaluronic Acid Serum"/>
    <d v="2023-07-06T00:00:00"/>
    <d v="2023-07-07T00:00:00"/>
    <n v="2"/>
    <n v="8.75"/>
    <x v="0"/>
    <x v="0"/>
    <x v="2"/>
    <x v="1"/>
    <x v="1"/>
    <x v="5"/>
    <n v="1"/>
    <n v="17.5"/>
    <n v="10"/>
    <n v="7.5"/>
  </r>
  <r>
    <s v="ORD-0115"/>
    <s v="Errol Files"/>
    <x v="4"/>
    <s v="Gentle Cleanser"/>
    <d v="2024-03-01T00:00:00"/>
    <d v="2024-03-08T00:00:00"/>
    <n v="3"/>
    <n v="3"/>
    <x v="0"/>
    <x v="0"/>
    <x v="1"/>
    <x v="0"/>
    <x v="0"/>
    <x v="6"/>
    <n v="7"/>
    <n v="9"/>
    <n v="4"/>
    <n v="5"/>
  </r>
  <r>
    <s v="ORD-0116"/>
    <s v="Christos Sinnett"/>
    <x v="0"/>
    <s v="Night Cream"/>
    <d v="2024-06-28T00:00:00"/>
    <d v="2024-06-29T00:00:00"/>
    <n v="2"/>
    <n v="6.5"/>
    <x v="0"/>
    <x v="4"/>
    <x v="2"/>
    <x v="0"/>
    <x v="4"/>
    <x v="6"/>
    <n v="1"/>
    <n v="13"/>
    <n v="8"/>
    <n v="5"/>
  </r>
  <r>
    <s v="ORD-0117"/>
    <s v="Izaak Varnam"/>
    <x v="2"/>
    <s v="Retinol Serum"/>
    <d v="2023-07-30T00:00:00"/>
    <d v="2023-08-03T00:00:00"/>
    <n v="3"/>
    <n v="10"/>
    <x v="0"/>
    <x v="0"/>
    <x v="0"/>
    <x v="1"/>
    <x v="1"/>
    <x v="1"/>
    <n v="4"/>
    <n v="30"/>
    <n v="20"/>
    <n v="10"/>
  </r>
  <r>
    <s v="ORD-0118"/>
    <s v="Petronille Critchard"/>
    <x v="0"/>
    <s v="Daily Moisturizer"/>
    <d v="2024-01-01T00:00:00"/>
    <d v="2024-01-08T00:00:00"/>
    <n v="2"/>
    <n v="5.5"/>
    <x v="1"/>
    <x v="0"/>
    <x v="2"/>
    <x v="0"/>
    <x v="11"/>
    <x v="2"/>
    <n v="7"/>
    <n v="11"/>
    <n v="6"/>
    <n v="5"/>
  </r>
  <r>
    <s v="ORD-0119"/>
    <s v="Philly Studdal"/>
    <x v="1"/>
    <s v="Matte Sunscreen"/>
    <d v="2024-01-08T00:00:00"/>
    <d v="2024-01-09T00:00:00"/>
    <n v="4"/>
    <n v="5.25"/>
    <x v="0"/>
    <x v="2"/>
    <x v="1"/>
    <x v="0"/>
    <x v="11"/>
    <x v="2"/>
    <n v="1"/>
    <n v="21"/>
    <n v="12"/>
    <n v="9"/>
  </r>
  <r>
    <s v="ORD-0120"/>
    <s v="Daryle Rodders"/>
    <x v="2"/>
    <s v="Vitamin C Serum"/>
    <d v="2023-08-07T00:00:00"/>
    <d v="2023-08-09T00:00:00"/>
    <n v="1"/>
    <n v="8.5"/>
    <x v="1"/>
    <x v="2"/>
    <x v="1"/>
    <x v="1"/>
    <x v="5"/>
    <x v="2"/>
    <n v="2"/>
    <n v="8.5"/>
    <n v="5"/>
    <n v="3.5"/>
  </r>
  <r>
    <s v="ORD-0121"/>
    <s v="Buckie Beushaw"/>
    <x v="0"/>
    <s v="Daily Moisturizer"/>
    <d v="2023-08-22T00:00:00"/>
    <d v="2023-08-25T00:00:00"/>
    <n v="1"/>
    <n v="5.5"/>
    <x v="0"/>
    <x v="1"/>
    <x v="2"/>
    <x v="1"/>
    <x v="5"/>
    <x v="3"/>
    <n v="3"/>
    <n v="5.5"/>
    <n v="3"/>
    <n v="2.5"/>
  </r>
  <r>
    <s v="ORD-0122"/>
    <s v="Marylou Tollady"/>
    <x v="4"/>
    <s v="Gentle Cleanser"/>
    <d v="2024-06-28T00:00:00"/>
    <d v="2024-07-08T00:00:00"/>
    <n v="5"/>
    <n v="3"/>
    <x v="0"/>
    <x v="1"/>
    <x v="2"/>
    <x v="0"/>
    <x v="4"/>
    <x v="6"/>
    <n v="10"/>
    <n v="15"/>
    <n v="7"/>
    <n v="8"/>
  </r>
  <r>
    <s v="ORD-0123"/>
    <s v="Harper Sarge"/>
    <x v="2"/>
    <s v="Hyaluronic Acid Serum"/>
    <d v="2024-01-02T00:00:00"/>
    <d v="2024-01-04T00:00:00"/>
    <n v="4"/>
    <n v="8.75"/>
    <x v="0"/>
    <x v="5"/>
    <x v="1"/>
    <x v="0"/>
    <x v="11"/>
    <x v="3"/>
    <n v="2"/>
    <n v="35"/>
    <n v="20"/>
    <n v="15"/>
  </r>
  <r>
    <s v="ORD-0124"/>
    <s v="Ranee Ackerley"/>
    <x v="3"/>
    <s v="Brightening Toner"/>
    <d v="2024-07-10T00:00:00"/>
    <d v="2024-07-11T00:00:00"/>
    <n v="3"/>
    <n v="4.5"/>
    <x v="0"/>
    <x v="0"/>
    <x v="2"/>
    <x v="0"/>
    <x v="1"/>
    <x v="4"/>
    <n v="1"/>
    <n v="13.5"/>
    <n v="7"/>
    <n v="6.5"/>
  </r>
  <r>
    <s v="ORD-0125"/>
    <s v="Salmon Verrillo"/>
    <x v="1"/>
    <s v="Matte Sunscreen"/>
    <d v="2023-08-05T00:00:00"/>
    <d v="2023-08-11T00:00:00"/>
    <n v="3"/>
    <n v="5.25"/>
    <x v="1"/>
    <x v="1"/>
    <x v="1"/>
    <x v="1"/>
    <x v="5"/>
    <x v="0"/>
    <n v="6"/>
    <n v="15.75"/>
    <n v="9"/>
    <n v="6.75"/>
  </r>
  <r>
    <s v="ORD-0126"/>
    <s v="Linus Dunbar"/>
    <x v="0"/>
    <s v="Daily Moisturizer"/>
    <d v="2023-07-16T00:00:00"/>
    <d v="2023-07-22T00:00:00"/>
    <n v="1"/>
    <n v="5.5"/>
    <x v="0"/>
    <x v="3"/>
    <x v="1"/>
    <x v="1"/>
    <x v="1"/>
    <x v="1"/>
    <n v="6"/>
    <n v="5.5"/>
    <n v="3"/>
    <n v="2.5"/>
  </r>
  <r>
    <s v="ORD-0127"/>
    <s v="Veronika Peirson"/>
    <x v="2"/>
    <s v="Niacinamide Serum"/>
    <d v="2024-03-20T00:00:00"/>
    <d v="2024-03-22T00:00:00"/>
    <n v="3"/>
    <n v="8"/>
    <x v="0"/>
    <x v="1"/>
    <x v="0"/>
    <x v="0"/>
    <x v="0"/>
    <x v="4"/>
    <n v="2"/>
    <n v="24"/>
    <n v="14"/>
    <n v="10"/>
  </r>
  <r>
    <s v="ORD-0128"/>
    <s v="Stanleigh O'Dunneen"/>
    <x v="2"/>
    <s v="Niacinamide Serum"/>
    <d v="2023-11-07T00:00:00"/>
    <d v="2023-11-17T00:00:00"/>
    <n v="3"/>
    <n v="8"/>
    <x v="0"/>
    <x v="2"/>
    <x v="1"/>
    <x v="1"/>
    <x v="2"/>
    <x v="3"/>
    <n v="10"/>
    <n v="24"/>
    <n v="14"/>
    <n v="10"/>
  </r>
  <r>
    <s v="ORD-0129"/>
    <s v="Melli Medland"/>
    <x v="4"/>
    <s v="Brightening Cleanser"/>
    <d v="2024-03-27T00:00:00"/>
    <d v="2024-04-05T00:00:00"/>
    <n v="5"/>
    <n v="3.75"/>
    <x v="0"/>
    <x v="0"/>
    <x v="2"/>
    <x v="0"/>
    <x v="0"/>
    <x v="4"/>
    <n v="9"/>
    <n v="18.75"/>
    <n v="9"/>
    <n v="9.75"/>
  </r>
  <r>
    <s v="ORD-0130"/>
    <s v="Ekaterina Claydon"/>
    <x v="4"/>
    <s v="Gentle Cleanser"/>
    <d v="2024-10-05T00:00:00"/>
    <d v="2024-10-07T00:00:00"/>
    <n v="2"/>
    <n v="3"/>
    <x v="1"/>
    <x v="1"/>
    <x v="2"/>
    <x v="0"/>
    <x v="7"/>
    <x v="0"/>
    <n v="2"/>
    <n v="6"/>
    <n v="3"/>
    <n v="3"/>
  </r>
  <r>
    <s v="ORD-0131"/>
    <s v="Gail Dimitrijevic"/>
    <x v="4"/>
    <s v="Acne Cleanser"/>
    <d v="2024-06-29T00:00:00"/>
    <d v="2024-07-13T00:00:00"/>
    <n v="4"/>
    <n v="3.5"/>
    <x v="1"/>
    <x v="5"/>
    <x v="1"/>
    <x v="0"/>
    <x v="4"/>
    <x v="0"/>
    <n v="14"/>
    <n v="14"/>
    <n v="7"/>
    <n v="7"/>
  </r>
  <r>
    <s v="ORD-0132"/>
    <s v="Kaja Chaffer"/>
    <x v="1"/>
    <s v="Sensitive Sunscreen"/>
    <d v="2024-02-22T00:00:00"/>
    <d v="2024-02-27T00:00:00"/>
    <n v="4"/>
    <n v="5.5"/>
    <x v="1"/>
    <x v="0"/>
    <x v="2"/>
    <x v="0"/>
    <x v="3"/>
    <x v="5"/>
    <n v="5"/>
    <n v="22"/>
    <n v="13"/>
    <n v="9"/>
  </r>
  <r>
    <s v="ORD-0133"/>
    <s v="Vivienne Dairton"/>
    <x v="1"/>
    <s v="Sunscreen SPF 30"/>
    <d v="2024-09-09T00:00:00"/>
    <d v="2024-09-15T00:00:00"/>
    <n v="1"/>
    <n v="4.75"/>
    <x v="0"/>
    <x v="5"/>
    <x v="2"/>
    <x v="0"/>
    <x v="10"/>
    <x v="2"/>
    <n v="6"/>
    <n v="4.75"/>
    <n v="3"/>
    <n v="1.75"/>
  </r>
  <r>
    <s v="ORD-0134"/>
    <s v="Debee Stapleford"/>
    <x v="4"/>
    <s v="Brightening Cleanser"/>
    <d v="2024-04-30T00:00:00"/>
    <d v="2024-05-01T00:00:00"/>
    <n v="3"/>
    <n v="3.75"/>
    <x v="0"/>
    <x v="0"/>
    <x v="0"/>
    <x v="0"/>
    <x v="6"/>
    <x v="3"/>
    <n v="1"/>
    <n v="11.25"/>
    <n v="6"/>
    <n v="5.25"/>
  </r>
  <r>
    <s v="ORD-0135"/>
    <s v="Leicester Swetland"/>
    <x v="4"/>
    <s v="Brightening Cleanser"/>
    <d v="2024-05-19T00:00:00"/>
    <d v="2024-05-21T00:00:00"/>
    <n v="3"/>
    <n v="3.75"/>
    <x v="0"/>
    <x v="2"/>
    <x v="0"/>
    <x v="0"/>
    <x v="9"/>
    <x v="1"/>
    <n v="2"/>
    <n v="11.25"/>
    <n v="6"/>
    <n v="5.25"/>
  </r>
  <r>
    <s v="ORD-0136"/>
    <s v="Annnora Margery"/>
    <x v="4"/>
    <s v="Acne Cleanser"/>
    <d v="2024-09-19T00:00:00"/>
    <d v="2024-09-26T00:00:00"/>
    <n v="1"/>
    <n v="3.5"/>
    <x v="1"/>
    <x v="0"/>
    <x v="2"/>
    <x v="0"/>
    <x v="10"/>
    <x v="5"/>
    <n v="7"/>
    <n v="3.5"/>
    <n v="2"/>
    <n v="1.5"/>
  </r>
  <r>
    <s v="ORD-0137"/>
    <s v="Emmi Ennion"/>
    <x v="1"/>
    <s v="Sunscreen SPF 50"/>
    <d v="2023-07-11T00:00:00"/>
    <d v="2023-07-12T00:00:00"/>
    <n v="2"/>
    <n v="5"/>
    <x v="0"/>
    <x v="3"/>
    <x v="2"/>
    <x v="1"/>
    <x v="1"/>
    <x v="3"/>
    <n v="1"/>
    <n v="10"/>
    <n v="6"/>
    <n v="4"/>
  </r>
  <r>
    <s v="ORD-0138"/>
    <s v="Emelita Shower"/>
    <x v="2"/>
    <s v="Retinol Serum"/>
    <d v="2023-07-12T00:00:00"/>
    <d v="2023-07-15T00:00:00"/>
    <n v="4"/>
    <n v="10"/>
    <x v="1"/>
    <x v="0"/>
    <x v="2"/>
    <x v="1"/>
    <x v="1"/>
    <x v="4"/>
    <n v="3"/>
    <n v="40"/>
    <n v="26"/>
    <n v="14"/>
  </r>
  <r>
    <s v="ORD-0139"/>
    <s v="Atlante Messent"/>
    <x v="2"/>
    <s v="Vitamin C Serum"/>
    <d v="2024-02-06T00:00:00"/>
    <d v="2024-02-09T00:00:00"/>
    <n v="3"/>
    <n v="8.5"/>
    <x v="0"/>
    <x v="1"/>
    <x v="2"/>
    <x v="0"/>
    <x v="3"/>
    <x v="3"/>
    <n v="3"/>
    <n v="25.5"/>
    <n v="15"/>
    <n v="10.5"/>
  </r>
  <r>
    <s v="ORD-0140"/>
    <s v="Bobbee McFarland"/>
    <x v="1"/>
    <s v="Matte Sunscreen"/>
    <d v="2024-02-09T00:00:00"/>
    <d v="2024-02-11T00:00:00"/>
    <n v="4"/>
    <n v="5.25"/>
    <x v="0"/>
    <x v="0"/>
    <x v="2"/>
    <x v="0"/>
    <x v="3"/>
    <x v="6"/>
    <n v="2"/>
    <n v="21"/>
    <n v="12"/>
    <n v="9"/>
  </r>
  <r>
    <s v="ORD-0141"/>
    <s v="Chrotoem Tuckley"/>
    <x v="0"/>
    <s v="Daily Moisturizer"/>
    <d v="2024-09-08T00:00:00"/>
    <d v="2024-09-09T00:00:00"/>
    <n v="5"/>
    <n v="5.5"/>
    <x v="0"/>
    <x v="1"/>
    <x v="2"/>
    <x v="0"/>
    <x v="10"/>
    <x v="1"/>
    <n v="1"/>
    <n v="27.5"/>
    <n v="14"/>
    <n v="13.5"/>
  </r>
  <r>
    <s v="ORD-0142"/>
    <s v="Georgetta Carder"/>
    <x v="0"/>
    <s v="Daily Moisturizer"/>
    <d v="2024-09-19T00:00:00"/>
    <d v="2024-09-20T00:00:00"/>
    <n v="4"/>
    <n v="5.5"/>
    <x v="0"/>
    <x v="0"/>
    <x v="2"/>
    <x v="0"/>
    <x v="10"/>
    <x v="5"/>
    <n v="1"/>
    <n v="22"/>
    <n v="11"/>
    <n v="11"/>
  </r>
  <r>
    <s v="ORD-0143"/>
    <s v="Leodora MacCague"/>
    <x v="0"/>
    <s v="Repair Cream"/>
    <d v="2023-09-01T00:00:00"/>
    <d v="2023-09-08T00:00:00"/>
    <n v="4"/>
    <n v="6.25"/>
    <x v="0"/>
    <x v="4"/>
    <x v="1"/>
    <x v="1"/>
    <x v="10"/>
    <x v="6"/>
    <n v="7"/>
    <n v="25"/>
    <n v="14"/>
    <n v="11"/>
  </r>
  <r>
    <s v="ORD-0144"/>
    <s v="Evvy Ixor"/>
    <x v="1"/>
    <s v="Sensitive Sunscreen"/>
    <d v="2024-08-18T00:00:00"/>
    <d v="2024-08-19T00:00:00"/>
    <n v="3"/>
    <n v="5.5"/>
    <x v="0"/>
    <x v="4"/>
    <x v="2"/>
    <x v="0"/>
    <x v="5"/>
    <x v="1"/>
    <n v="1"/>
    <n v="16.5"/>
    <n v="10"/>
    <n v="6.5"/>
  </r>
  <r>
    <s v="ORD-0145"/>
    <s v="Mable Mor"/>
    <x v="3"/>
    <s v="Brightening Toner"/>
    <d v="2024-10-11T00:00:00"/>
    <d v="2024-10-12T00:00:00"/>
    <n v="4"/>
    <n v="4.5"/>
    <x v="0"/>
    <x v="1"/>
    <x v="2"/>
    <x v="0"/>
    <x v="7"/>
    <x v="6"/>
    <n v="1"/>
    <n v="18"/>
    <n v="9"/>
    <n v="9"/>
  </r>
  <r>
    <s v="ORD-0146"/>
    <s v="Catherina Jirus"/>
    <x v="1"/>
    <s v="Matte Sunscreen"/>
    <d v="2023-08-11T00:00:00"/>
    <d v="2023-08-12T00:00:00"/>
    <n v="1"/>
    <n v="5.25"/>
    <x v="0"/>
    <x v="2"/>
    <x v="1"/>
    <x v="1"/>
    <x v="5"/>
    <x v="6"/>
    <n v="1"/>
    <n v="5.25"/>
    <n v="3"/>
    <n v="2.25"/>
  </r>
  <r>
    <s v="ORD-0147"/>
    <s v="Trumann McCrisken"/>
    <x v="1"/>
    <s v="Sunscreen SPF 50"/>
    <d v="2024-10-05T00:00:00"/>
    <d v="2024-10-08T00:00:00"/>
    <n v="1"/>
    <n v="5"/>
    <x v="0"/>
    <x v="2"/>
    <x v="2"/>
    <x v="0"/>
    <x v="7"/>
    <x v="0"/>
    <n v="3"/>
    <n v="5"/>
    <n v="3"/>
    <n v="2"/>
  </r>
  <r>
    <s v="ORD-0148"/>
    <s v="Darell Haily"/>
    <x v="2"/>
    <s v="Niacinamide Serum"/>
    <d v="2023-07-30T00:00:00"/>
    <d v="2023-07-31T00:00:00"/>
    <n v="3"/>
    <n v="8"/>
    <x v="0"/>
    <x v="5"/>
    <x v="1"/>
    <x v="1"/>
    <x v="1"/>
    <x v="1"/>
    <n v="1"/>
    <n v="24"/>
    <n v="14"/>
    <n v="10"/>
  </r>
  <r>
    <s v="ORD-0149"/>
    <s v="Kalila Wakefield"/>
    <x v="0"/>
    <s v="Gel Moisturizer"/>
    <d v="2024-06-16T00:00:00"/>
    <d v="2024-06-23T00:00:00"/>
    <n v="2"/>
    <n v="5.75"/>
    <x v="0"/>
    <x v="1"/>
    <x v="2"/>
    <x v="0"/>
    <x v="4"/>
    <x v="1"/>
    <n v="7"/>
    <n v="11.5"/>
    <n v="6"/>
    <n v="5.5"/>
  </r>
  <r>
    <s v="ORD-0150"/>
    <s v="Rodie Castiglio"/>
    <x v="3"/>
    <s v="Acne Toner"/>
    <d v="2023-07-16T00:00:00"/>
    <d v="2023-07-19T00:00:00"/>
    <n v="1"/>
    <n v="4.5"/>
    <x v="0"/>
    <x v="1"/>
    <x v="2"/>
    <x v="1"/>
    <x v="1"/>
    <x v="1"/>
    <n v="3"/>
    <n v="4.5"/>
    <n v="2"/>
    <n v="2.5"/>
  </r>
  <r>
    <s v="ORD-0151"/>
    <s v="Timmie Bradburne"/>
    <x v="0"/>
    <s v="Gel Moisturizer"/>
    <d v="2024-08-24T00:00:00"/>
    <d v="2024-08-30T00:00:00"/>
    <n v="5"/>
    <n v="5.75"/>
    <x v="0"/>
    <x v="3"/>
    <x v="0"/>
    <x v="0"/>
    <x v="5"/>
    <x v="0"/>
    <n v="6"/>
    <n v="28.75"/>
    <n v="14"/>
    <n v="14.75"/>
  </r>
  <r>
    <s v="ORD-0152"/>
    <s v="Elden Pennrington"/>
    <x v="3"/>
    <s v="Hydrating Toner"/>
    <d v="2023-11-09T00:00:00"/>
    <d v="2023-11-10T00:00:00"/>
    <n v="2"/>
    <n v="4.25"/>
    <x v="0"/>
    <x v="3"/>
    <x v="2"/>
    <x v="1"/>
    <x v="2"/>
    <x v="5"/>
    <n v="1"/>
    <n v="8.5"/>
    <n v="4"/>
    <n v="4.5"/>
  </r>
  <r>
    <s v="ORD-0153"/>
    <s v="Lillis Kirwood"/>
    <x v="0"/>
    <s v="Gel Moisturizer"/>
    <d v="2023-07-28T00:00:00"/>
    <d v="2023-08-01T00:00:00"/>
    <n v="4"/>
    <n v="5.75"/>
    <x v="0"/>
    <x v="0"/>
    <x v="2"/>
    <x v="1"/>
    <x v="1"/>
    <x v="6"/>
    <n v="4"/>
    <n v="23"/>
    <n v="12"/>
    <n v="11"/>
  </r>
  <r>
    <s v="ORD-0154"/>
    <s v="Morgen Kupper"/>
    <x v="3"/>
    <s v="Acne Toner"/>
    <d v="2024-07-23T00:00:00"/>
    <d v="2024-07-24T00:00:00"/>
    <n v="3"/>
    <n v="4.5"/>
    <x v="0"/>
    <x v="3"/>
    <x v="2"/>
    <x v="0"/>
    <x v="1"/>
    <x v="3"/>
    <n v="1"/>
    <n v="13.5"/>
    <n v="7"/>
    <n v="6.5"/>
  </r>
  <r>
    <s v="ORD-0155"/>
    <s v="Adelice Wikey"/>
    <x v="2"/>
    <s v="Niacinamide Serum"/>
    <d v="2024-03-17T00:00:00"/>
    <d v="2024-03-18T00:00:00"/>
    <n v="3"/>
    <n v="8"/>
    <x v="0"/>
    <x v="0"/>
    <x v="2"/>
    <x v="0"/>
    <x v="0"/>
    <x v="1"/>
    <n v="1"/>
    <n v="24"/>
    <n v="14"/>
    <n v="10"/>
  </r>
  <r>
    <s v="ORD-0156"/>
    <s v="Benton Killoran"/>
    <x v="3"/>
    <s v="Hydrating Toner"/>
    <d v="2024-01-01T00:00:00"/>
    <d v="2024-01-15T00:00:00"/>
    <n v="1"/>
    <n v="4.25"/>
    <x v="0"/>
    <x v="1"/>
    <x v="1"/>
    <x v="0"/>
    <x v="11"/>
    <x v="2"/>
    <n v="14"/>
    <n v="4.25"/>
    <n v="2"/>
    <n v="2.25"/>
  </r>
  <r>
    <s v="ORD-0157"/>
    <s v="Harriette Wethers"/>
    <x v="0"/>
    <s v="Daily Moisturizer"/>
    <d v="2024-02-10T00:00:00"/>
    <d v="2024-02-11T00:00:00"/>
    <n v="1"/>
    <n v="5.5"/>
    <x v="0"/>
    <x v="0"/>
    <x v="2"/>
    <x v="0"/>
    <x v="3"/>
    <x v="0"/>
    <n v="1"/>
    <n v="5.5"/>
    <n v="3"/>
    <n v="2.5"/>
  </r>
  <r>
    <s v="ORD-0158"/>
    <s v="Marten Hackey"/>
    <x v="2"/>
    <s v="Vitamin C Serum"/>
    <d v="2023-11-22T00:00:00"/>
    <d v="2023-11-28T00:00:00"/>
    <n v="5"/>
    <n v="8.5"/>
    <x v="0"/>
    <x v="4"/>
    <x v="2"/>
    <x v="1"/>
    <x v="2"/>
    <x v="4"/>
    <n v="6"/>
    <n v="42.5"/>
    <n v="26"/>
    <n v="16.5"/>
  </r>
  <r>
    <s v="ORD-0159"/>
    <s v="Farrah Barth"/>
    <x v="4"/>
    <s v="Hydrating Cleanser"/>
    <d v="2024-01-01T00:00:00"/>
    <d v="2024-01-06T00:00:00"/>
    <n v="5"/>
    <n v="4"/>
    <x v="0"/>
    <x v="0"/>
    <x v="1"/>
    <x v="0"/>
    <x v="11"/>
    <x v="2"/>
    <n v="5"/>
    <n v="20"/>
    <n v="10"/>
    <n v="10"/>
  </r>
  <r>
    <s v="ORD-0160"/>
    <s v="Celeste Orme"/>
    <x v="4"/>
    <s v="Brightening Cleanser"/>
    <d v="2023-08-03T00:00:00"/>
    <d v="2023-08-04T00:00:00"/>
    <n v="5"/>
    <n v="3.75"/>
    <x v="0"/>
    <x v="1"/>
    <x v="2"/>
    <x v="1"/>
    <x v="5"/>
    <x v="5"/>
    <n v="1"/>
    <n v="18.75"/>
    <n v="9"/>
    <n v="9.75"/>
  </r>
  <r>
    <s v="ORD-0161"/>
    <s v="Pren Postins"/>
    <x v="0"/>
    <s v="Daily Moisturizer"/>
    <d v="2024-08-20T00:00:00"/>
    <d v="2024-08-29T00:00:00"/>
    <n v="1"/>
    <n v="5.5"/>
    <x v="0"/>
    <x v="0"/>
    <x v="2"/>
    <x v="0"/>
    <x v="5"/>
    <x v="3"/>
    <n v="9"/>
    <n v="5.5"/>
    <n v="3"/>
    <n v="2.5"/>
  </r>
  <r>
    <s v="ORD-0162"/>
    <s v="Janean Findon"/>
    <x v="4"/>
    <s v="Gentle Cleanser"/>
    <d v="2024-02-13T00:00:00"/>
    <d v="2024-02-18T00:00:00"/>
    <n v="2"/>
    <n v="3"/>
    <x v="0"/>
    <x v="1"/>
    <x v="1"/>
    <x v="0"/>
    <x v="3"/>
    <x v="3"/>
    <n v="5"/>
    <n v="6"/>
    <n v="3"/>
    <n v="3"/>
  </r>
  <r>
    <s v="ORD-0163"/>
    <s v="Baird Towlson"/>
    <x v="1"/>
    <s v="Matte Sunscreen"/>
    <d v="2023-10-23T00:00:00"/>
    <d v="2023-11-02T00:00:00"/>
    <n v="5"/>
    <n v="5.25"/>
    <x v="0"/>
    <x v="2"/>
    <x v="1"/>
    <x v="1"/>
    <x v="7"/>
    <x v="2"/>
    <n v="10"/>
    <n v="26.25"/>
    <n v="15"/>
    <n v="11.25"/>
  </r>
  <r>
    <s v="ORD-0164"/>
    <s v="Patrizia Moxted"/>
    <x v="2"/>
    <s v="Niacinamide Serum"/>
    <d v="2023-09-26T00:00:00"/>
    <d v="2023-10-02T00:00:00"/>
    <n v="5"/>
    <n v="8"/>
    <x v="0"/>
    <x v="0"/>
    <x v="0"/>
    <x v="1"/>
    <x v="10"/>
    <x v="3"/>
    <n v="6"/>
    <n v="40"/>
    <n v="23"/>
    <n v="17"/>
  </r>
  <r>
    <s v="ORD-0165"/>
    <s v="Eb Lanham"/>
    <x v="3"/>
    <s v="Soothing Toner"/>
    <d v="2024-09-14T00:00:00"/>
    <d v="2024-09-15T00:00:00"/>
    <n v="2"/>
    <n v="4.75"/>
    <x v="0"/>
    <x v="2"/>
    <x v="2"/>
    <x v="0"/>
    <x v="10"/>
    <x v="0"/>
    <n v="1"/>
    <n v="9.5"/>
    <n v="5"/>
    <n v="4.5"/>
  </r>
  <r>
    <s v="ORD-0166"/>
    <s v="Karen Gethin"/>
    <x v="4"/>
    <s v="Hydrating Cleanser"/>
    <d v="2024-03-10T00:00:00"/>
    <d v="2024-03-14T00:00:00"/>
    <n v="5"/>
    <n v="4"/>
    <x v="0"/>
    <x v="2"/>
    <x v="0"/>
    <x v="0"/>
    <x v="0"/>
    <x v="1"/>
    <n v="4"/>
    <n v="20"/>
    <n v="10"/>
    <n v="10"/>
  </r>
  <r>
    <s v="ORD-0167"/>
    <s v="Izaak Threadgall"/>
    <x v="1"/>
    <s v="Sunscreen SPF 30"/>
    <d v="2024-08-09T00:00:00"/>
    <d v="2024-08-11T00:00:00"/>
    <n v="3"/>
    <n v="4.75"/>
    <x v="0"/>
    <x v="5"/>
    <x v="2"/>
    <x v="0"/>
    <x v="5"/>
    <x v="6"/>
    <n v="2"/>
    <n v="14.25"/>
    <n v="8"/>
    <n v="6.25"/>
  </r>
  <r>
    <s v="ORD-0168"/>
    <s v="Tonye Cavanaugh"/>
    <x v="4"/>
    <s v="Gentle Cleanser"/>
    <d v="2023-08-27T00:00:00"/>
    <d v="2023-08-30T00:00:00"/>
    <n v="2"/>
    <n v="3"/>
    <x v="0"/>
    <x v="2"/>
    <x v="1"/>
    <x v="1"/>
    <x v="5"/>
    <x v="1"/>
    <n v="3"/>
    <n v="6"/>
    <n v="3"/>
    <n v="3"/>
  </r>
  <r>
    <s v="ORD-0169"/>
    <s v="Nancey Hecks"/>
    <x v="4"/>
    <s v="Acne Cleanser"/>
    <d v="2024-01-21T00:00:00"/>
    <d v="2024-01-23T00:00:00"/>
    <n v="4"/>
    <n v="3.5"/>
    <x v="0"/>
    <x v="1"/>
    <x v="0"/>
    <x v="0"/>
    <x v="11"/>
    <x v="1"/>
    <n v="2"/>
    <n v="14"/>
    <n v="7"/>
    <n v="7"/>
  </r>
  <r>
    <s v="ORD-0170"/>
    <s v="Hogan Gibbeson"/>
    <x v="0"/>
    <s v="Gel Moisturizer"/>
    <d v="2023-11-10T00:00:00"/>
    <d v="2023-11-16T00:00:00"/>
    <n v="2"/>
    <n v="5.75"/>
    <x v="0"/>
    <x v="1"/>
    <x v="2"/>
    <x v="1"/>
    <x v="2"/>
    <x v="6"/>
    <n v="6"/>
    <n v="11.5"/>
    <n v="6"/>
    <n v="5.5"/>
  </r>
  <r>
    <s v="ORD-0171"/>
    <s v="Nessa Merwe"/>
    <x v="3"/>
    <s v="Soothing Toner"/>
    <d v="2024-04-13T00:00:00"/>
    <d v="2024-04-17T00:00:00"/>
    <n v="2"/>
    <n v="4.75"/>
    <x v="1"/>
    <x v="0"/>
    <x v="1"/>
    <x v="0"/>
    <x v="6"/>
    <x v="0"/>
    <n v="4"/>
    <n v="9.5"/>
    <n v="5"/>
    <n v="4.5"/>
  </r>
  <r>
    <s v="ORD-0172"/>
    <s v="Teddy Filson"/>
    <x v="4"/>
    <s v="Brightening Cleanser"/>
    <d v="2023-07-31T00:00:00"/>
    <d v="2023-08-02T00:00:00"/>
    <n v="1"/>
    <n v="3.75"/>
    <x v="0"/>
    <x v="1"/>
    <x v="1"/>
    <x v="1"/>
    <x v="1"/>
    <x v="2"/>
    <n v="2"/>
    <n v="3.75"/>
    <n v="2"/>
    <n v="1.75"/>
  </r>
  <r>
    <s v="ORD-0173"/>
    <s v="Jae Acock"/>
    <x v="2"/>
    <s v="Niacinamide Serum"/>
    <d v="2024-03-31T00:00:00"/>
    <d v="2024-04-02T00:00:00"/>
    <n v="5"/>
    <n v="8"/>
    <x v="0"/>
    <x v="2"/>
    <x v="2"/>
    <x v="0"/>
    <x v="0"/>
    <x v="1"/>
    <n v="2"/>
    <n v="40"/>
    <n v="23"/>
    <n v="17"/>
  </r>
  <r>
    <s v="ORD-0174"/>
    <s v="Bastien Dearlove"/>
    <x v="3"/>
    <s v="Acne Toner"/>
    <d v="2024-09-06T00:00:00"/>
    <d v="2024-09-14T00:00:00"/>
    <n v="1"/>
    <n v="4.5"/>
    <x v="1"/>
    <x v="5"/>
    <x v="1"/>
    <x v="0"/>
    <x v="10"/>
    <x v="6"/>
    <n v="8"/>
    <n v="4.5"/>
    <n v="2"/>
    <n v="2.5"/>
  </r>
  <r>
    <s v="ORD-0175"/>
    <s v="Shauna Beamont"/>
    <x v="4"/>
    <s v="Acne Cleanser"/>
    <d v="2024-02-15T00:00:00"/>
    <d v="2024-02-16T00:00:00"/>
    <n v="5"/>
    <n v="3.5"/>
    <x v="0"/>
    <x v="0"/>
    <x v="2"/>
    <x v="0"/>
    <x v="3"/>
    <x v="5"/>
    <n v="1"/>
    <n v="17.5"/>
    <n v="8"/>
    <n v="9.5"/>
  </r>
  <r>
    <s v="ORD-0176"/>
    <s v="Herculie Ollett"/>
    <x v="0"/>
    <s v="Daily Moisturizer"/>
    <d v="2024-06-07T00:00:00"/>
    <d v="2024-06-08T00:00:00"/>
    <n v="5"/>
    <n v="5.5"/>
    <x v="1"/>
    <x v="0"/>
    <x v="1"/>
    <x v="0"/>
    <x v="4"/>
    <x v="6"/>
    <n v="1"/>
    <n v="27.5"/>
    <n v="14"/>
    <n v="13.5"/>
  </r>
  <r>
    <s v="ORD-0177"/>
    <s v="Archambault Emslie"/>
    <x v="3"/>
    <s v="Brightening Toner"/>
    <d v="2023-09-18T00:00:00"/>
    <d v="2023-09-20T00:00:00"/>
    <n v="4"/>
    <n v="4.5"/>
    <x v="1"/>
    <x v="1"/>
    <x v="2"/>
    <x v="1"/>
    <x v="10"/>
    <x v="2"/>
    <n v="2"/>
    <n v="18"/>
    <n v="9"/>
    <n v="9"/>
  </r>
  <r>
    <s v="ORD-0178"/>
    <s v="Elysha Stockoe"/>
    <x v="1"/>
    <s v="Sensitive Sunscreen"/>
    <d v="2024-05-13T00:00:00"/>
    <d v="2024-05-20T00:00:00"/>
    <n v="5"/>
    <n v="5.5"/>
    <x v="0"/>
    <x v="3"/>
    <x v="0"/>
    <x v="0"/>
    <x v="9"/>
    <x v="2"/>
    <n v="7"/>
    <n v="27.5"/>
    <n v="17"/>
    <n v="10.5"/>
  </r>
  <r>
    <s v="ORD-0179"/>
    <s v="Vanessa Roselli"/>
    <x v="2"/>
    <s v="Niacinamide Serum"/>
    <d v="2024-08-13T00:00:00"/>
    <d v="2024-08-19T00:00:00"/>
    <n v="1"/>
    <n v="8"/>
    <x v="1"/>
    <x v="1"/>
    <x v="2"/>
    <x v="0"/>
    <x v="5"/>
    <x v="3"/>
    <n v="6"/>
    <n v="8"/>
    <n v="5"/>
    <n v="3"/>
  </r>
  <r>
    <s v="ORD-0180"/>
    <s v="Zitella Jaime"/>
    <x v="3"/>
    <s v="Brightening Toner"/>
    <d v="2023-10-30T00:00:00"/>
    <d v="2023-11-01T00:00:00"/>
    <n v="4"/>
    <n v="4.5"/>
    <x v="1"/>
    <x v="0"/>
    <x v="2"/>
    <x v="1"/>
    <x v="7"/>
    <x v="2"/>
    <n v="2"/>
    <n v="18"/>
    <n v="9"/>
    <n v="9"/>
  </r>
  <r>
    <s v="ORD-0181"/>
    <s v="Mela Lamburn"/>
    <x v="0"/>
    <s v="Repair Cream"/>
    <d v="2023-10-16T00:00:00"/>
    <d v="2023-10-19T00:00:00"/>
    <n v="5"/>
    <n v="6.25"/>
    <x v="0"/>
    <x v="0"/>
    <x v="0"/>
    <x v="1"/>
    <x v="7"/>
    <x v="2"/>
    <n v="3"/>
    <n v="31.25"/>
    <n v="17"/>
    <n v="14.25"/>
  </r>
  <r>
    <s v="ORD-0182"/>
    <s v="Greggory Luton"/>
    <x v="0"/>
    <s v="Night Cream"/>
    <d v="2024-09-19T00:00:00"/>
    <d v="2024-09-23T00:00:00"/>
    <n v="4"/>
    <n v="6.5"/>
    <x v="1"/>
    <x v="0"/>
    <x v="2"/>
    <x v="0"/>
    <x v="10"/>
    <x v="5"/>
    <n v="4"/>
    <n v="26"/>
    <n v="15"/>
    <n v="11"/>
  </r>
  <r>
    <s v="ORD-0183"/>
    <s v="Stephannie Braunroth"/>
    <x v="4"/>
    <s v="Acne Cleanser"/>
    <d v="2024-10-02T00:00:00"/>
    <d v="2024-10-05T00:00:00"/>
    <n v="2"/>
    <n v="3.5"/>
    <x v="0"/>
    <x v="1"/>
    <x v="2"/>
    <x v="0"/>
    <x v="7"/>
    <x v="4"/>
    <n v="3"/>
    <n v="7"/>
    <n v="3"/>
    <n v="4"/>
  </r>
  <r>
    <s v="ORD-0184"/>
    <s v="Persis Gravett"/>
    <x v="2"/>
    <s v="Hyaluronic Acid Serum"/>
    <d v="2024-07-23T00:00:00"/>
    <d v="2024-07-24T00:00:00"/>
    <n v="4"/>
    <n v="8.75"/>
    <x v="0"/>
    <x v="1"/>
    <x v="2"/>
    <x v="0"/>
    <x v="1"/>
    <x v="3"/>
    <n v="1"/>
    <n v="35"/>
    <n v="20"/>
    <n v="15"/>
  </r>
  <r>
    <s v="ORD-0185"/>
    <s v="Cherish Cantopher"/>
    <x v="1"/>
    <s v="Matte Sunscreen"/>
    <d v="2024-05-17T00:00:00"/>
    <d v="2024-05-22T00:00:00"/>
    <n v="1"/>
    <n v="5.25"/>
    <x v="0"/>
    <x v="5"/>
    <x v="1"/>
    <x v="0"/>
    <x v="9"/>
    <x v="6"/>
    <n v="5"/>
    <n v="5.25"/>
    <n v="3"/>
    <n v="2.25"/>
  </r>
  <r>
    <s v="ORD-0186"/>
    <s v="Walsh Ryce"/>
    <x v="3"/>
    <s v="Acne Toner"/>
    <d v="2024-07-07T00:00:00"/>
    <d v="2024-07-10T00:00:00"/>
    <n v="2"/>
    <n v="4.5"/>
    <x v="0"/>
    <x v="1"/>
    <x v="2"/>
    <x v="0"/>
    <x v="1"/>
    <x v="1"/>
    <n v="3"/>
    <n v="9"/>
    <n v="5"/>
    <n v="4"/>
  </r>
  <r>
    <s v="ORD-0187"/>
    <s v="Ches Collopy"/>
    <x v="2"/>
    <s v="Hyaluronic Acid Serum"/>
    <d v="2023-11-20T00:00:00"/>
    <d v="2023-11-21T00:00:00"/>
    <n v="5"/>
    <n v="8.75"/>
    <x v="0"/>
    <x v="0"/>
    <x v="2"/>
    <x v="1"/>
    <x v="2"/>
    <x v="2"/>
    <n v="1"/>
    <n v="43.75"/>
    <n v="25"/>
    <n v="18.75"/>
  </r>
  <r>
    <s v="ORD-0188"/>
    <s v="Claire Stormonth"/>
    <x v="2"/>
    <s v="Vitamin C Serum"/>
    <d v="2024-07-06T00:00:00"/>
    <d v="2024-07-10T00:00:00"/>
    <n v="3"/>
    <n v="8.5"/>
    <x v="1"/>
    <x v="3"/>
    <x v="2"/>
    <x v="0"/>
    <x v="1"/>
    <x v="0"/>
    <n v="4"/>
    <n v="25.5"/>
    <n v="15"/>
    <n v="10.5"/>
  </r>
  <r>
    <s v="ORD-0189"/>
    <s v="Hayyim Haquard"/>
    <x v="2"/>
    <s v="Vitamin C Serum"/>
    <d v="2023-08-10T00:00:00"/>
    <d v="2023-08-13T00:00:00"/>
    <n v="5"/>
    <n v="8.5"/>
    <x v="0"/>
    <x v="1"/>
    <x v="2"/>
    <x v="1"/>
    <x v="5"/>
    <x v="5"/>
    <n v="3"/>
    <n v="42.5"/>
    <n v="26"/>
    <n v="16.5"/>
  </r>
  <r>
    <s v="ORD-0190"/>
    <s v="Emilia Hasnip"/>
    <x v="1"/>
    <s v="Sunscreen SPF 50"/>
    <d v="2024-05-24T00:00:00"/>
    <d v="2024-05-30T00:00:00"/>
    <n v="3"/>
    <n v="5"/>
    <x v="0"/>
    <x v="1"/>
    <x v="2"/>
    <x v="0"/>
    <x v="9"/>
    <x v="6"/>
    <n v="6"/>
    <n v="15"/>
    <n v="8"/>
    <n v="7"/>
  </r>
  <r>
    <s v="ORD-0191"/>
    <s v="Wes Pochet"/>
    <x v="0"/>
    <s v="Repair Cream"/>
    <d v="2024-04-03T00:00:00"/>
    <d v="2024-04-05T00:00:00"/>
    <n v="4"/>
    <n v="6.25"/>
    <x v="0"/>
    <x v="5"/>
    <x v="1"/>
    <x v="0"/>
    <x v="6"/>
    <x v="4"/>
    <n v="2"/>
    <n v="25"/>
    <n v="14"/>
    <n v="11"/>
  </r>
  <r>
    <s v="ORD-0192"/>
    <s v="Marietta Nichols"/>
    <x v="2"/>
    <s v="Hyaluronic Acid Serum"/>
    <d v="2024-04-07T00:00:00"/>
    <d v="2024-04-08T00:00:00"/>
    <n v="4"/>
    <n v="8.75"/>
    <x v="0"/>
    <x v="2"/>
    <x v="2"/>
    <x v="0"/>
    <x v="6"/>
    <x v="1"/>
    <n v="1"/>
    <n v="35"/>
    <n v="20"/>
    <n v="15"/>
  </r>
  <r>
    <s v="ORD-0193"/>
    <s v="Norman BURWIN"/>
    <x v="4"/>
    <s v="Acne Cleanser"/>
    <d v="2024-06-05T00:00:00"/>
    <d v="2024-06-06T00:00:00"/>
    <n v="5"/>
    <n v="3.5"/>
    <x v="0"/>
    <x v="5"/>
    <x v="1"/>
    <x v="0"/>
    <x v="4"/>
    <x v="4"/>
    <n v="1"/>
    <n v="17.5"/>
    <n v="8"/>
    <n v="9.5"/>
  </r>
  <r>
    <s v="ORD-0194"/>
    <s v="Kelby Meers"/>
    <x v="4"/>
    <s v="Gentle Cleanser"/>
    <d v="2024-02-13T00:00:00"/>
    <d v="2024-02-20T00:00:00"/>
    <n v="1"/>
    <n v="3"/>
    <x v="0"/>
    <x v="3"/>
    <x v="0"/>
    <x v="0"/>
    <x v="3"/>
    <x v="3"/>
    <n v="7"/>
    <n v="3"/>
    <n v="1"/>
    <n v="2"/>
  </r>
  <r>
    <s v="ORD-0195"/>
    <s v="Huntley Dockrell"/>
    <x v="4"/>
    <s v="Hydrating Cleanser"/>
    <d v="2024-08-13T00:00:00"/>
    <d v="2024-08-15T00:00:00"/>
    <n v="2"/>
    <n v="4"/>
    <x v="0"/>
    <x v="2"/>
    <x v="0"/>
    <x v="0"/>
    <x v="5"/>
    <x v="3"/>
    <n v="2"/>
    <n v="8"/>
    <n v="4"/>
    <n v="4"/>
  </r>
  <r>
    <s v="ORD-0196"/>
    <s v="Monte Janousek"/>
    <x v="2"/>
    <s v="Niacinamide Serum"/>
    <d v="2024-06-26T00:00:00"/>
    <d v="2024-06-29T00:00:00"/>
    <n v="2"/>
    <n v="8"/>
    <x v="0"/>
    <x v="1"/>
    <x v="1"/>
    <x v="0"/>
    <x v="4"/>
    <x v="4"/>
    <n v="3"/>
    <n v="16"/>
    <n v="9"/>
    <n v="7"/>
  </r>
  <r>
    <s v="ORD-0197"/>
    <s v="Car Beddows"/>
    <x v="4"/>
    <s v="Hydrating Cleanser"/>
    <d v="2024-01-19T00:00:00"/>
    <d v="2024-01-21T00:00:00"/>
    <n v="1"/>
    <n v="4"/>
    <x v="0"/>
    <x v="1"/>
    <x v="1"/>
    <x v="0"/>
    <x v="11"/>
    <x v="6"/>
    <n v="2"/>
    <n v="4"/>
    <n v="2"/>
    <n v="2"/>
  </r>
  <r>
    <s v="ORD-0198"/>
    <s v="Iolanthe Costelow"/>
    <x v="2"/>
    <s v="Niacinamide Serum"/>
    <d v="2023-09-24T00:00:00"/>
    <d v="2023-09-30T00:00:00"/>
    <n v="2"/>
    <n v="8"/>
    <x v="0"/>
    <x v="0"/>
    <x v="2"/>
    <x v="1"/>
    <x v="10"/>
    <x v="1"/>
    <n v="6"/>
    <n v="16"/>
    <n v="9"/>
    <n v="7"/>
  </r>
  <r>
    <s v="ORD-0199"/>
    <s v="Alyce Mougin"/>
    <x v="4"/>
    <s v="Gentle Cleanser"/>
    <d v="2024-04-04T00:00:00"/>
    <d v="2024-04-11T00:00:00"/>
    <n v="2"/>
    <n v="3"/>
    <x v="0"/>
    <x v="5"/>
    <x v="1"/>
    <x v="0"/>
    <x v="6"/>
    <x v="5"/>
    <n v="7"/>
    <n v="6"/>
    <n v="3"/>
    <n v="3"/>
  </r>
  <r>
    <s v="ORD-0200"/>
    <s v="Tatiania Cathrall"/>
    <x v="1"/>
    <s v="Matte Sunscreen"/>
    <d v="2024-08-05T00:00:00"/>
    <d v="2024-08-07T00:00:00"/>
    <n v="2"/>
    <n v="5.25"/>
    <x v="1"/>
    <x v="2"/>
    <x v="0"/>
    <x v="0"/>
    <x v="5"/>
    <x v="2"/>
    <n v="2"/>
    <n v="10.5"/>
    <n v="6"/>
    <n v="4.5"/>
  </r>
  <r>
    <s v="ORD-0201"/>
    <s v="Emogene McWhin"/>
    <x v="3"/>
    <s v="Hydrating Toner"/>
    <d v="2024-03-21T00:00:00"/>
    <d v="2024-03-22T00:00:00"/>
    <n v="2"/>
    <n v="4.25"/>
    <x v="1"/>
    <x v="3"/>
    <x v="2"/>
    <x v="0"/>
    <x v="0"/>
    <x v="5"/>
    <n v="1"/>
    <n v="8.5"/>
    <n v="4"/>
    <n v="4.5"/>
  </r>
  <r>
    <s v="ORD-0202"/>
    <s v="Doris Yakovliv"/>
    <x v="4"/>
    <s v="Acne Cleanser"/>
    <d v="2024-04-12T00:00:00"/>
    <d v="2024-04-14T00:00:00"/>
    <n v="4"/>
    <n v="3.5"/>
    <x v="0"/>
    <x v="3"/>
    <x v="1"/>
    <x v="0"/>
    <x v="6"/>
    <x v="6"/>
    <n v="2"/>
    <n v="14"/>
    <n v="7"/>
    <n v="7"/>
  </r>
  <r>
    <s v="ORD-0203"/>
    <s v="Urbanus Peoples"/>
    <x v="1"/>
    <s v="Sensitive Sunscreen"/>
    <d v="2024-04-29T00:00:00"/>
    <d v="2024-05-01T00:00:00"/>
    <n v="1"/>
    <n v="5.5"/>
    <x v="0"/>
    <x v="4"/>
    <x v="2"/>
    <x v="0"/>
    <x v="6"/>
    <x v="2"/>
    <n v="2"/>
    <n v="5.5"/>
    <n v="3"/>
    <n v="2.5"/>
  </r>
  <r>
    <s v="ORD-0204"/>
    <s v="Lyndy Worswick"/>
    <x v="3"/>
    <s v="Acne Toner"/>
    <d v="2023-10-25T00:00:00"/>
    <d v="2023-10-30T00:00:00"/>
    <n v="1"/>
    <n v="4.5"/>
    <x v="0"/>
    <x v="1"/>
    <x v="0"/>
    <x v="1"/>
    <x v="7"/>
    <x v="4"/>
    <n v="5"/>
    <n v="4.5"/>
    <n v="2"/>
    <n v="2.5"/>
  </r>
  <r>
    <s v="ORD-0205"/>
    <s v="Mala Brosel"/>
    <x v="0"/>
    <s v="Daily Moisturizer"/>
    <d v="2024-03-08T00:00:00"/>
    <d v="2024-03-10T00:00:00"/>
    <n v="4"/>
    <n v="5.5"/>
    <x v="0"/>
    <x v="5"/>
    <x v="2"/>
    <x v="0"/>
    <x v="0"/>
    <x v="6"/>
    <n v="2"/>
    <n v="22"/>
    <n v="11"/>
    <n v="11"/>
  </r>
  <r>
    <s v="ORD-0206"/>
    <s v="Godiva Fogt"/>
    <x v="2"/>
    <s v="Vitamin C Serum"/>
    <d v="2024-06-13T00:00:00"/>
    <d v="2024-06-16T00:00:00"/>
    <n v="4"/>
    <n v="8.5"/>
    <x v="1"/>
    <x v="3"/>
    <x v="2"/>
    <x v="0"/>
    <x v="4"/>
    <x v="5"/>
    <n v="3"/>
    <n v="34"/>
    <n v="20"/>
    <n v="14"/>
  </r>
  <r>
    <s v="ORD-0207"/>
    <s v="Aretha Bryett"/>
    <x v="2"/>
    <s v="Niacinamide Serum"/>
    <d v="2023-10-02T00:00:00"/>
    <d v="2023-10-06T00:00:00"/>
    <n v="5"/>
    <n v="8"/>
    <x v="1"/>
    <x v="2"/>
    <x v="2"/>
    <x v="1"/>
    <x v="7"/>
    <x v="2"/>
    <n v="4"/>
    <n v="40"/>
    <n v="23"/>
    <n v="17"/>
  </r>
  <r>
    <s v="ORD-0208"/>
    <s v="Melisent Renish"/>
    <x v="3"/>
    <s v="Hydrating Toner"/>
    <d v="2024-01-18T00:00:00"/>
    <d v="2024-01-19T00:00:00"/>
    <n v="1"/>
    <n v="4.25"/>
    <x v="0"/>
    <x v="3"/>
    <x v="2"/>
    <x v="0"/>
    <x v="11"/>
    <x v="5"/>
    <n v="1"/>
    <n v="4.25"/>
    <n v="2"/>
    <n v="2.25"/>
  </r>
  <r>
    <s v="ORD-0209"/>
    <s v="Drusie Pears"/>
    <x v="4"/>
    <s v="Brightening Cleanser"/>
    <d v="2023-10-28T00:00:00"/>
    <d v="2023-11-06T00:00:00"/>
    <n v="4"/>
    <n v="3.75"/>
    <x v="0"/>
    <x v="2"/>
    <x v="2"/>
    <x v="1"/>
    <x v="7"/>
    <x v="0"/>
    <n v="9"/>
    <n v="15"/>
    <n v="8"/>
    <n v="7"/>
  </r>
  <r>
    <s v="ORD-0210"/>
    <s v="Laureen Jeger"/>
    <x v="4"/>
    <s v="Acne Cleanser"/>
    <d v="2024-05-07T00:00:00"/>
    <d v="2024-05-09T00:00:00"/>
    <n v="1"/>
    <n v="3.5"/>
    <x v="0"/>
    <x v="0"/>
    <x v="1"/>
    <x v="0"/>
    <x v="9"/>
    <x v="3"/>
    <n v="2"/>
    <n v="3.5"/>
    <n v="2"/>
    <n v="1.5"/>
  </r>
  <r>
    <s v="ORD-0211"/>
    <s v="Robin Mansion"/>
    <x v="0"/>
    <s v="Night Cream"/>
    <d v="2024-04-19T00:00:00"/>
    <d v="2024-04-22T00:00:00"/>
    <n v="4"/>
    <n v="6.5"/>
    <x v="0"/>
    <x v="3"/>
    <x v="2"/>
    <x v="0"/>
    <x v="6"/>
    <x v="6"/>
    <n v="3"/>
    <n v="26"/>
    <n v="15"/>
    <n v="11"/>
  </r>
  <r>
    <s v="ORD-0212"/>
    <s v="Starla Valerio"/>
    <x v="4"/>
    <s v="Acne Cleanser"/>
    <d v="2024-10-06T00:00:00"/>
    <d v="2024-10-12T00:00:00"/>
    <n v="1"/>
    <n v="3.5"/>
    <x v="1"/>
    <x v="2"/>
    <x v="0"/>
    <x v="0"/>
    <x v="7"/>
    <x v="1"/>
    <n v="6"/>
    <n v="3.5"/>
    <n v="2"/>
    <n v="1.5"/>
  </r>
  <r>
    <s v="ORD-0213"/>
    <s v="Ladonna Deveraux"/>
    <x v="0"/>
    <s v="Night Cream"/>
    <d v="2024-05-26T00:00:00"/>
    <d v="2024-05-27T00:00:00"/>
    <n v="2"/>
    <n v="6.5"/>
    <x v="0"/>
    <x v="4"/>
    <x v="1"/>
    <x v="0"/>
    <x v="9"/>
    <x v="1"/>
    <n v="1"/>
    <n v="13"/>
    <n v="8"/>
    <n v="5"/>
  </r>
  <r>
    <s v="ORD-0214"/>
    <s v="Kathryn Cassam"/>
    <x v="1"/>
    <s v="Sensitive Sunscreen"/>
    <d v="2024-02-08T00:00:00"/>
    <d v="2024-02-14T00:00:00"/>
    <n v="2"/>
    <n v="5.5"/>
    <x v="1"/>
    <x v="2"/>
    <x v="2"/>
    <x v="0"/>
    <x v="3"/>
    <x v="5"/>
    <n v="6"/>
    <n v="11"/>
    <n v="7"/>
    <n v="4"/>
  </r>
  <r>
    <s v="ORD-0215"/>
    <s v="Quinton Gretton"/>
    <x v="2"/>
    <s v="Niacinamide Serum"/>
    <d v="2024-02-10T00:00:00"/>
    <d v="2024-02-11T00:00:00"/>
    <n v="1"/>
    <n v="8"/>
    <x v="0"/>
    <x v="5"/>
    <x v="1"/>
    <x v="0"/>
    <x v="3"/>
    <x v="0"/>
    <n v="1"/>
    <n v="8"/>
    <n v="5"/>
    <n v="3"/>
  </r>
  <r>
    <s v="ORD-0216"/>
    <s v="Avrit Filipowicz"/>
    <x v="4"/>
    <s v="Gentle Cleanser"/>
    <d v="2024-06-15T00:00:00"/>
    <d v="2024-06-17T00:00:00"/>
    <n v="3"/>
    <n v="3"/>
    <x v="1"/>
    <x v="1"/>
    <x v="1"/>
    <x v="0"/>
    <x v="4"/>
    <x v="0"/>
    <n v="2"/>
    <n v="9"/>
    <n v="4"/>
    <n v="5"/>
  </r>
  <r>
    <s v="ORD-0217"/>
    <s v="Mira Kaufman"/>
    <x v="0"/>
    <s v="Daily Moisturizer"/>
    <d v="2023-07-24T00:00:00"/>
    <d v="2023-07-25T00:00:00"/>
    <n v="5"/>
    <n v="5.5"/>
    <x v="0"/>
    <x v="0"/>
    <x v="0"/>
    <x v="1"/>
    <x v="1"/>
    <x v="2"/>
    <n v="1"/>
    <n v="27.5"/>
    <n v="14"/>
    <n v="13.5"/>
  </r>
  <r>
    <s v="ORD-0218"/>
    <s v="Meryl Wheelton"/>
    <x v="4"/>
    <s v="Acne Cleanser"/>
    <d v="2023-11-30T00:00:00"/>
    <d v="2023-12-07T00:00:00"/>
    <n v="2"/>
    <n v="3.5"/>
    <x v="1"/>
    <x v="1"/>
    <x v="0"/>
    <x v="1"/>
    <x v="2"/>
    <x v="5"/>
    <n v="7"/>
    <n v="7"/>
    <n v="3"/>
    <n v="4"/>
  </r>
  <r>
    <s v="ORD-0219"/>
    <s v="Winn Hollyer"/>
    <x v="3"/>
    <s v="Hydrating Toner"/>
    <d v="2023-11-16T00:00:00"/>
    <d v="2023-11-17T00:00:00"/>
    <n v="1"/>
    <n v="4.25"/>
    <x v="0"/>
    <x v="5"/>
    <x v="1"/>
    <x v="1"/>
    <x v="2"/>
    <x v="5"/>
    <n v="1"/>
    <n v="4.25"/>
    <n v="2"/>
    <n v="2.25"/>
  </r>
  <r>
    <s v="ORD-0220"/>
    <s v="Charleen Sturley"/>
    <x v="4"/>
    <s v="Brightening Cleanser"/>
    <d v="2024-09-26T00:00:00"/>
    <d v="2024-09-27T00:00:00"/>
    <n v="5"/>
    <n v="3.75"/>
    <x v="0"/>
    <x v="0"/>
    <x v="2"/>
    <x v="0"/>
    <x v="10"/>
    <x v="5"/>
    <n v="1"/>
    <n v="18.75"/>
    <n v="9"/>
    <n v="9.75"/>
  </r>
  <r>
    <s v="ORD-0221"/>
    <s v="Marcelle Dabbs"/>
    <x v="1"/>
    <s v="Sunscreen SPF 30"/>
    <d v="2024-09-04T00:00:00"/>
    <d v="2024-09-10T00:00:00"/>
    <n v="1"/>
    <n v="4.75"/>
    <x v="0"/>
    <x v="0"/>
    <x v="2"/>
    <x v="0"/>
    <x v="10"/>
    <x v="4"/>
    <n v="6"/>
    <n v="4.75"/>
    <n v="3"/>
    <n v="1.75"/>
  </r>
  <r>
    <s v="ORD-0222"/>
    <s v="Camellia Boyd"/>
    <x v="2"/>
    <s v="Retinol Serum"/>
    <d v="2024-06-28T00:00:00"/>
    <d v="2024-07-01T00:00:00"/>
    <n v="4"/>
    <n v="10"/>
    <x v="0"/>
    <x v="5"/>
    <x v="0"/>
    <x v="0"/>
    <x v="4"/>
    <x v="6"/>
    <n v="3"/>
    <n v="40"/>
    <n v="26"/>
    <n v="14"/>
  </r>
  <r>
    <s v="ORD-0223"/>
    <s v="Bobinette Fittis"/>
    <x v="0"/>
    <s v="Gel Moisturizer"/>
    <d v="2024-06-03T00:00:00"/>
    <d v="2024-06-07T00:00:00"/>
    <n v="3"/>
    <n v="5.75"/>
    <x v="1"/>
    <x v="5"/>
    <x v="0"/>
    <x v="0"/>
    <x v="4"/>
    <x v="2"/>
    <n v="4"/>
    <n v="17.25"/>
    <n v="9"/>
    <n v="8.25"/>
  </r>
  <r>
    <s v="ORD-0224"/>
    <s v="Maurise Skevington"/>
    <x v="2"/>
    <s v="Retinol Serum"/>
    <d v="2024-10-18T00:00:00"/>
    <d v="2024-10-23T00:00:00"/>
    <n v="1"/>
    <n v="10"/>
    <x v="0"/>
    <x v="0"/>
    <x v="2"/>
    <x v="0"/>
    <x v="7"/>
    <x v="6"/>
    <n v="5"/>
    <n v="10"/>
    <n v="7"/>
    <n v="3"/>
  </r>
  <r>
    <s v="ORD-0225"/>
    <s v="Westbrooke Simms"/>
    <x v="3"/>
    <s v="Brightening Toner"/>
    <d v="2023-12-08T00:00:00"/>
    <d v="2023-12-16T00:00:00"/>
    <n v="4"/>
    <n v="4.5"/>
    <x v="0"/>
    <x v="1"/>
    <x v="2"/>
    <x v="1"/>
    <x v="8"/>
    <x v="6"/>
    <n v="8"/>
    <n v="18"/>
    <n v="9"/>
    <n v="9"/>
  </r>
  <r>
    <s v="ORD-0226"/>
    <s v="Brooke Mc Faul"/>
    <x v="4"/>
    <s v="Hydrating Cleanser"/>
    <d v="2023-10-15T00:00:00"/>
    <d v="2023-10-19T00:00:00"/>
    <n v="5"/>
    <n v="4"/>
    <x v="0"/>
    <x v="3"/>
    <x v="2"/>
    <x v="1"/>
    <x v="7"/>
    <x v="1"/>
    <n v="4"/>
    <n v="20"/>
    <n v="10"/>
    <n v="10"/>
  </r>
  <r>
    <s v="ORD-0227"/>
    <s v="Heinrick Bernardino"/>
    <x v="1"/>
    <s v="Matte Sunscreen"/>
    <d v="2023-11-10T00:00:00"/>
    <d v="2023-11-12T00:00:00"/>
    <n v="4"/>
    <n v="5.25"/>
    <x v="0"/>
    <x v="2"/>
    <x v="1"/>
    <x v="1"/>
    <x v="2"/>
    <x v="6"/>
    <n v="2"/>
    <n v="21"/>
    <n v="12"/>
    <n v="9"/>
  </r>
  <r>
    <s v="ORD-0228"/>
    <s v="Petronille Schuelcke"/>
    <x v="1"/>
    <s v="Sunscreen SPF 30"/>
    <d v="2024-08-16T00:00:00"/>
    <d v="2024-08-17T00:00:00"/>
    <n v="3"/>
    <n v="4.75"/>
    <x v="1"/>
    <x v="3"/>
    <x v="0"/>
    <x v="0"/>
    <x v="5"/>
    <x v="6"/>
    <n v="1"/>
    <n v="14.25"/>
    <n v="8"/>
    <n v="6.25"/>
  </r>
  <r>
    <s v="ORD-0229"/>
    <s v="Kaleb Graith"/>
    <x v="3"/>
    <s v="Brightening Toner"/>
    <d v="2024-09-25T00:00:00"/>
    <d v="2024-10-07T00:00:00"/>
    <n v="1"/>
    <n v="4.5"/>
    <x v="0"/>
    <x v="0"/>
    <x v="1"/>
    <x v="0"/>
    <x v="10"/>
    <x v="4"/>
    <n v="12"/>
    <n v="4.5"/>
    <n v="2"/>
    <n v="2.5"/>
  </r>
  <r>
    <s v="ORD-0230"/>
    <s v="Suki Dadd"/>
    <x v="2"/>
    <s v="Vitamin C Serum"/>
    <d v="2024-05-26T00:00:00"/>
    <d v="2024-05-29T00:00:00"/>
    <n v="3"/>
    <n v="8.5"/>
    <x v="0"/>
    <x v="5"/>
    <x v="1"/>
    <x v="0"/>
    <x v="9"/>
    <x v="1"/>
    <n v="3"/>
    <n v="25.5"/>
    <n v="15"/>
    <n v="10.5"/>
  </r>
  <r>
    <s v="ORD-0231"/>
    <s v="Cairistiona Freed"/>
    <x v="1"/>
    <s v="Sunscreen SPF 30"/>
    <d v="2023-09-09T00:00:00"/>
    <d v="2023-09-12T00:00:00"/>
    <n v="1"/>
    <n v="4.75"/>
    <x v="0"/>
    <x v="0"/>
    <x v="1"/>
    <x v="1"/>
    <x v="10"/>
    <x v="0"/>
    <n v="3"/>
    <n v="4.75"/>
    <n v="3"/>
    <n v="1.75"/>
  </r>
  <r>
    <s v="ORD-0232"/>
    <s v="Danette Rosendahl"/>
    <x v="4"/>
    <s v="Gentle Cleanser"/>
    <d v="2023-07-08T00:00:00"/>
    <d v="2023-07-19T00:00:00"/>
    <n v="5"/>
    <n v="3"/>
    <x v="0"/>
    <x v="0"/>
    <x v="1"/>
    <x v="1"/>
    <x v="1"/>
    <x v="0"/>
    <n v="11"/>
    <n v="15"/>
    <n v="7"/>
    <n v="8"/>
  </r>
  <r>
    <s v="ORD-0233"/>
    <s v="Lonnie Dewhurst"/>
    <x v="4"/>
    <s v="Brightening Cleanser"/>
    <d v="2024-10-04T00:00:00"/>
    <d v="2024-10-08T00:00:00"/>
    <n v="1"/>
    <n v="3.75"/>
    <x v="0"/>
    <x v="0"/>
    <x v="2"/>
    <x v="0"/>
    <x v="7"/>
    <x v="6"/>
    <n v="4"/>
    <n v="3.75"/>
    <n v="2"/>
    <n v="1.75"/>
  </r>
  <r>
    <s v="ORD-0234"/>
    <s v="Sydney Mastrantone"/>
    <x v="3"/>
    <s v="Hydrating Toner"/>
    <d v="2024-10-16T00:00:00"/>
    <d v="2024-10-18T00:00:00"/>
    <n v="1"/>
    <n v="4.25"/>
    <x v="1"/>
    <x v="3"/>
    <x v="1"/>
    <x v="0"/>
    <x v="7"/>
    <x v="4"/>
    <n v="2"/>
    <n v="4.25"/>
    <n v="2"/>
    <n v="2.25"/>
  </r>
  <r>
    <s v="ORD-0235"/>
    <s v="Michel Sillis"/>
    <x v="2"/>
    <s v="Vitamin C Serum"/>
    <d v="2024-09-11T00:00:00"/>
    <d v="2024-09-18T00:00:00"/>
    <n v="2"/>
    <n v="8.5"/>
    <x v="0"/>
    <x v="2"/>
    <x v="2"/>
    <x v="0"/>
    <x v="10"/>
    <x v="4"/>
    <n v="7"/>
    <n v="17"/>
    <n v="10"/>
    <n v="7"/>
  </r>
  <r>
    <s v="ORD-0236"/>
    <s v="Rodd Emmet"/>
    <x v="2"/>
    <s v="Vitamin C Serum"/>
    <d v="2023-10-02T00:00:00"/>
    <d v="2023-10-14T00:00:00"/>
    <n v="1"/>
    <n v="8.5"/>
    <x v="0"/>
    <x v="2"/>
    <x v="2"/>
    <x v="1"/>
    <x v="7"/>
    <x v="2"/>
    <n v="12"/>
    <n v="8.5"/>
    <n v="5"/>
    <n v="3.5"/>
  </r>
  <r>
    <s v="ORD-0237"/>
    <s v="Angela Mallender"/>
    <x v="2"/>
    <s v="Retinol Serum"/>
    <d v="2023-12-09T00:00:00"/>
    <d v="2023-12-12T00:00:00"/>
    <n v="1"/>
    <n v="10"/>
    <x v="0"/>
    <x v="5"/>
    <x v="0"/>
    <x v="1"/>
    <x v="8"/>
    <x v="0"/>
    <n v="3"/>
    <n v="10"/>
    <n v="7"/>
    <n v="3"/>
  </r>
  <r>
    <s v="ORD-0238"/>
    <s v="Davin Kedie"/>
    <x v="4"/>
    <s v="Brightening Cleanser"/>
    <d v="2024-05-16T00:00:00"/>
    <d v="2024-05-17T00:00:00"/>
    <n v="3"/>
    <n v="3.75"/>
    <x v="0"/>
    <x v="1"/>
    <x v="1"/>
    <x v="0"/>
    <x v="9"/>
    <x v="5"/>
    <n v="1"/>
    <n v="11.25"/>
    <n v="6"/>
    <n v="5.25"/>
  </r>
  <r>
    <s v="ORD-0239"/>
    <s v="Melba Brownstein"/>
    <x v="3"/>
    <s v="Hydrating Toner"/>
    <d v="2023-07-25T00:00:00"/>
    <d v="2023-07-30T00:00:00"/>
    <n v="4"/>
    <n v="4.25"/>
    <x v="0"/>
    <x v="1"/>
    <x v="2"/>
    <x v="1"/>
    <x v="1"/>
    <x v="3"/>
    <n v="5"/>
    <n v="17"/>
    <n v="8"/>
    <n v="9"/>
  </r>
  <r>
    <s v="ORD-0240"/>
    <s v="Terri aManger"/>
    <x v="3"/>
    <s v="Brightening Toner"/>
    <d v="2024-02-01T00:00:00"/>
    <d v="2024-02-06T00:00:00"/>
    <n v="2"/>
    <n v="4.5"/>
    <x v="0"/>
    <x v="0"/>
    <x v="2"/>
    <x v="0"/>
    <x v="3"/>
    <x v="5"/>
    <n v="5"/>
    <n v="9"/>
    <n v="5"/>
    <n v="4"/>
  </r>
  <r>
    <s v="ORD-0241"/>
    <s v="Humberto McCambrois"/>
    <x v="2"/>
    <s v="Hyaluronic Acid Serum"/>
    <d v="2023-12-18T00:00:00"/>
    <d v="2023-12-23T00:00:00"/>
    <n v="5"/>
    <n v="8.75"/>
    <x v="0"/>
    <x v="0"/>
    <x v="2"/>
    <x v="1"/>
    <x v="8"/>
    <x v="2"/>
    <n v="5"/>
    <n v="43.75"/>
    <n v="25"/>
    <n v="18.75"/>
  </r>
  <r>
    <s v="ORD-0242"/>
    <s v="Suellen Siret"/>
    <x v="1"/>
    <s v="Sunscreen SPF 50"/>
    <d v="2023-07-21T00:00:00"/>
    <d v="2023-07-23T00:00:00"/>
    <n v="5"/>
    <n v="5"/>
    <x v="0"/>
    <x v="2"/>
    <x v="1"/>
    <x v="1"/>
    <x v="1"/>
    <x v="6"/>
    <n v="2"/>
    <n v="25"/>
    <n v="14"/>
    <n v="11"/>
  </r>
  <r>
    <s v="ORD-0243"/>
    <s v="Shelba McKirton"/>
    <x v="4"/>
    <s v="Acne Cleanser"/>
    <d v="2023-08-07T00:00:00"/>
    <d v="2023-08-13T00:00:00"/>
    <n v="4"/>
    <n v="3.5"/>
    <x v="0"/>
    <x v="0"/>
    <x v="2"/>
    <x v="1"/>
    <x v="5"/>
    <x v="2"/>
    <n v="6"/>
    <n v="14"/>
    <n v="7"/>
    <n v="7"/>
  </r>
  <r>
    <s v="ORD-0244"/>
    <s v="Delcine Kareman"/>
    <x v="0"/>
    <s v="Repair Cream"/>
    <d v="2023-08-13T00:00:00"/>
    <d v="2023-08-15T00:00:00"/>
    <n v="5"/>
    <n v="6.25"/>
    <x v="0"/>
    <x v="2"/>
    <x v="1"/>
    <x v="1"/>
    <x v="5"/>
    <x v="1"/>
    <n v="2"/>
    <n v="31.25"/>
    <n v="17"/>
    <n v="14.25"/>
  </r>
  <r>
    <s v="ORD-0245"/>
    <s v="Willow Pinare"/>
    <x v="2"/>
    <s v="Retinol Serum"/>
    <d v="2024-01-14T00:00:00"/>
    <d v="2024-01-18T00:00:00"/>
    <n v="5"/>
    <n v="10"/>
    <x v="1"/>
    <x v="4"/>
    <x v="1"/>
    <x v="0"/>
    <x v="11"/>
    <x v="1"/>
    <n v="4"/>
    <n v="50"/>
    <n v="33"/>
    <n v="17"/>
  </r>
  <r>
    <s v="ORD-0246"/>
    <s v="Gabriella Dancey"/>
    <x v="2"/>
    <s v="Retinol Serum"/>
    <d v="2024-04-29T00:00:00"/>
    <d v="2024-05-01T00:00:00"/>
    <n v="3"/>
    <n v="10"/>
    <x v="0"/>
    <x v="0"/>
    <x v="2"/>
    <x v="0"/>
    <x v="6"/>
    <x v="2"/>
    <n v="2"/>
    <n v="30"/>
    <n v="20"/>
    <n v="10"/>
  </r>
  <r>
    <s v="ORD-0247"/>
    <s v="Jarrad Gookey"/>
    <x v="0"/>
    <s v="Gel Moisturizer"/>
    <d v="2024-10-10T00:00:00"/>
    <d v="2024-10-12T00:00:00"/>
    <n v="1"/>
    <n v="5.75"/>
    <x v="0"/>
    <x v="0"/>
    <x v="2"/>
    <x v="0"/>
    <x v="7"/>
    <x v="5"/>
    <n v="2"/>
    <n v="5.75"/>
    <n v="3"/>
    <n v="2.75"/>
  </r>
  <r>
    <s v="ORD-0248"/>
    <s v="Serge McGahern"/>
    <x v="2"/>
    <s v="Retinol Serum"/>
    <d v="2023-09-29T00:00:00"/>
    <d v="2023-09-30T00:00:00"/>
    <n v="1"/>
    <n v="10"/>
    <x v="0"/>
    <x v="5"/>
    <x v="2"/>
    <x v="1"/>
    <x v="10"/>
    <x v="6"/>
    <n v="1"/>
    <n v="10"/>
    <n v="7"/>
    <n v="3"/>
  </r>
  <r>
    <s v="ORD-0249"/>
    <s v="Efrem Milkeham"/>
    <x v="0"/>
    <s v="Repair Cream"/>
    <d v="2023-10-26T00:00:00"/>
    <d v="2023-10-30T00:00:00"/>
    <n v="1"/>
    <n v="6.25"/>
    <x v="0"/>
    <x v="0"/>
    <x v="2"/>
    <x v="1"/>
    <x v="7"/>
    <x v="5"/>
    <n v="4"/>
    <n v="6.25"/>
    <n v="3"/>
    <n v="3.25"/>
  </r>
  <r>
    <s v="ORD-0250"/>
    <s v="Raphaela Lissandrini"/>
    <x v="4"/>
    <s v="Brightening Cleanser"/>
    <d v="2024-04-30T00:00:00"/>
    <d v="2024-05-02T00:00:00"/>
    <n v="1"/>
    <n v="3.75"/>
    <x v="1"/>
    <x v="5"/>
    <x v="0"/>
    <x v="0"/>
    <x v="6"/>
    <x v="3"/>
    <n v="2"/>
    <n v="3.75"/>
    <n v="2"/>
    <n v="1.75"/>
  </r>
  <r>
    <s v="ORD-0251"/>
    <s v="Buddie Tift"/>
    <x v="3"/>
    <s v="Hydrating Toner"/>
    <d v="2023-10-10T00:00:00"/>
    <d v="2023-10-11T00:00:00"/>
    <n v="3"/>
    <n v="4.25"/>
    <x v="0"/>
    <x v="0"/>
    <x v="1"/>
    <x v="1"/>
    <x v="7"/>
    <x v="3"/>
    <n v="1"/>
    <n v="12.75"/>
    <n v="6"/>
    <n v="6.75"/>
  </r>
  <r>
    <s v="ORD-0252"/>
    <s v="Martita Murr"/>
    <x v="3"/>
    <s v="Hydrating Toner"/>
    <d v="2023-12-31T00:00:00"/>
    <d v="2024-01-06T00:00:00"/>
    <n v="5"/>
    <n v="4.25"/>
    <x v="1"/>
    <x v="0"/>
    <x v="2"/>
    <x v="1"/>
    <x v="8"/>
    <x v="1"/>
    <n v="6"/>
    <n v="21.25"/>
    <n v="10"/>
    <n v="11.25"/>
  </r>
  <r>
    <s v="ORD-0253"/>
    <s v="Rodge Galle"/>
    <x v="2"/>
    <s v="Vitamin C Serum"/>
    <d v="2023-12-24T00:00:00"/>
    <d v="2023-12-31T00:00:00"/>
    <n v="3"/>
    <n v="8.5"/>
    <x v="0"/>
    <x v="5"/>
    <x v="2"/>
    <x v="1"/>
    <x v="8"/>
    <x v="1"/>
    <n v="7"/>
    <n v="25.5"/>
    <n v="15"/>
    <n v="10.5"/>
  </r>
  <r>
    <s v="ORD-0254"/>
    <s v="Mike Northidge"/>
    <x v="2"/>
    <s v="Retinol Serum"/>
    <d v="2024-10-17T00:00:00"/>
    <d v="2024-10-22T00:00:00"/>
    <n v="1"/>
    <n v="10"/>
    <x v="1"/>
    <x v="0"/>
    <x v="2"/>
    <x v="0"/>
    <x v="7"/>
    <x v="5"/>
    <n v="5"/>
    <n v="10"/>
    <n v="7"/>
    <n v="3"/>
  </r>
  <r>
    <s v="ORD-0255"/>
    <s v="Briggs Gornal"/>
    <x v="3"/>
    <s v="Acne Toner"/>
    <d v="2024-03-26T00:00:00"/>
    <d v="2024-04-09T00:00:00"/>
    <n v="4"/>
    <n v="4.5"/>
    <x v="0"/>
    <x v="0"/>
    <x v="0"/>
    <x v="0"/>
    <x v="0"/>
    <x v="3"/>
    <n v="14"/>
    <n v="18"/>
    <n v="9"/>
    <n v="9"/>
  </r>
  <r>
    <s v="ORD-0256"/>
    <s v="Celina Broader"/>
    <x v="4"/>
    <s v="Acne Cleanser"/>
    <d v="2024-05-18T00:00:00"/>
    <d v="2024-05-19T00:00:00"/>
    <n v="5"/>
    <n v="3.5"/>
    <x v="0"/>
    <x v="3"/>
    <x v="1"/>
    <x v="0"/>
    <x v="9"/>
    <x v="0"/>
    <n v="1"/>
    <n v="17.5"/>
    <n v="8"/>
    <n v="9.5"/>
  </r>
  <r>
    <s v="ORD-0257"/>
    <s v="Gretna Sivills"/>
    <x v="4"/>
    <s v="Brightening Cleanser"/>
    <d v="2023-09-27T00:00:00"/>
    <d v="2023-09-28T00:00:00"/>
    <n v="4"/>
    <n v="3.75"/>
    <x v="0"/>
    <x v="0"/>
    <x v="2"/>
    <x v="1"/>
    <x v="10"/>
    <x v="4"/>
    <n v="1"/>
    <n v="15"/>
    <n v="8"/>
    <n v="7"/>
  </r>
  <r>
    <s v="ORD-0258"/>
    <s v="Ethel Hayfield"/>
    <x v="4"/>
    <s v="Acne Cleanser"/>
    <d v="2023-07-22T00:00:00"/>
    <d v="2023-07-25T00:00:00"/>
    <n v="2"/>
    <n v="3.5"/>
    <x v="0"/>
    <x v="1"/>
    <x v="1"/>
    <x v="1"/>
    <x v="1"/>
    <x v="0"/>
    <n v="3"/>
    <n v="7"/>
    <n v="3"/>
    <n v="4"/>
  </r>
  <r>
    <s v="ORD-0259"/>
    <s v="Viki Skeete"/>
    <x v="4"/>
    <s v="Hydrating Cleanser"/>
    <d v="2023-07-06T00:00:00"/>
    <d v="2023-07-09T00:00:00"/>
    <n v="2"/>
    <n v="4"/>
    <x v="0"/>
    <x v="0"/>
    <x v="2"/>
    <x v="1"/>
    <x v="1"/>
    <x v="5"/>
    <n v="3"/>
    <n v="8"/>
    <n v="4"/>
    <n v="4"/>
  </r>
  <r>
    <s v="ORD-0260"/>
    <s v="Tally Leigh"/>
    <x v="3"/>
    <s v="Brightening Toner"/>
    <d v="2024-09-10T00:00:00"/>
    <d v="2024-09-13T00:00:00"/>
    <n v="3"/>
    <n v="4.5"/>
    <x v="1"/>
    <x v="5"/>
    <x v="1"/>
    <x v="0"/>
    <x v="10"/>
    <x v="3"/>
    <n v="3"/>
    <n v="13.5"/>
    <n v="7"/>
    <n v="6.5"/>
  </r>
  <r>
    <s v="ORD-0261"/>
    <s v="Layne Hazleton"/>
    <x v="4"/>
    <s v="Gentle Cleanser"/>
    <d v="2024-07-07T00:00:00"/>
    <d v="2024-07-21T00:00:00"/>
    <n v="1"/>
    <n v="3"/>
    <x v="0"/>
    <x v="4"/>
    <x v="2"/>
    <x v="0"/>
    <x v="1"/>
    <x v="1"/>
    <n v="14"/>
    <n v="3"/>
    <n v="1"/>
    <n v="2"/>
  </r>
  <r>
    <s v="ORD-0262"/>
    <s v="Renard Farress"/>
    <x v="0"/>
    <s v="Repair Cream"/>
    <d v="2023-11-18T00:00:00"/>
    <d v="2023-11-21T00:00:00"/>
    <n v="2"/>
    <n v="6.25"/>
    <x v="0"/>
    <x v="0"/>
    <x v="1"/>
    <x v="1"/>
    <x v="2"/>
    <x v="0"/>
    <n v="3"/>
    <n v="12.5"/>
    <n v="7"/>
    <n v="5.5"/>
  </r>
  <r>
    <s v="ORD-0263"/>
    <s v="Chandal Seabrocke"/>
    <x v="3"/>
    <s v="Hydrating Toner"/>
    <d v="2024-01-05T00:00:00"/>
    <d v="2024-01-06T00:00:00"/>
    <n v="4"/>
    <n v="4.25"/>
    <x v="0"/>
    <x v="5"/>
    <x v="2"/>
    <x v="0"/>
    <x v="11"/>
    <x v="6"/>
    <n v="1"/>
    <n v="17"/>
    <n v="8"/>
    <n v="9"/>
  </r>
  <r>
    <s v="ORD-0264"/>
    <s v="Joelle Faier"/>
    <x v="1"/>
    <s v="Sunscreen SPF 50"/>
    <d v="2023-11-20T00:00:00"/>
    <d v="2023-11-28T00:00:00"/>
    <n v="3"/>
    <n v="5"/>
    <x v="1"/>
    <x v="1"/>
    <x v="1"/>
    <x v="1"/>
    <x v="2"/>
    <x v="2"/>
    <n v="8"/>
    <n v="15"/>
    <n v="8"/>
    <n v="7"/>
  </r>
  <r>
    <s v="ORD-0265"/>
    <s v="Raychel Jahnke"/>
    <x v="4"/>
    <s v="Acne Cleanser"/>
    <d v="2023-12-26T00:00:00"/>
    <d v="2024-01-09T00:00:00"/>
    <n v="1"/>
    <n v="3.5"/>
    <x v="0"/>
    <x v="0"/>
    <x v="1"/>
    <x v="1"/>
    <x v="8"/>
    <x v="3"/>
    <n v="14"/>
    <n v="3.5"/>
    <n v="2"/>
    <n v="1.5"/>
  </r>
  <r>
    <s v="ORD-0266"/>
    <s v="Lori Arni"/>
    <x v="1"/>
    <s v="Sunscreen SPF 50"/>
    <d v="2024-10-29T00:00:00"/>
    <d v="2024-11-09T00:00:00"/>
    <n v="3"/>
    <n v="5"/>
    <x v="1"/>
    <x v="0"/>
    <x v="2"/>
    <x v="0"/>
    <x v="7"/>
    <x v="3"/>
    <n v="11"/>
    <n v="15"/>
    <n v="8"/>
    <n v="7"/>
  </r>
  <r>
    <s v="ORD-0267"/>
    <s v="Brier Trenholme"/>
    <x v="4"/>
    <s v="Gentle Cleanser"/>
    <d v="2024-04-07T00:00:00"/>
    <d v="2024-04-08T00:00:00"/>
    <n v="1"/>
    <n v="3"/>
    <x v="0"/>
    <x v="1"/>
    <x v="1"/>
    <x v="0"/>
    <x v="6"/>
    <x v="1"/>
    <n v="1"/>
    <n v="3"/>
    <n v="1"/>
    <n v="2"/>
  </r>
  <r>
    <s v="ORD-0268"/>
    <s v="Rochella Hanscomb"/>
    <x v="3"/>
    <s v="Hydrating Toner"/>
    <d v="2024-09-07T00:00:00"/>
    <d v="2024-09-11T00:00:00"/>
    <n v="3"/>
    <n v="4.25"/>
    <x v="1"/>
    <x v="5"/>
    <x v="0"/>
    <x v="0"/>
    <x v="10"/>
    <x v="0"/>
    <n v="4"/>
    <n v="12.75"/>
    <n v="6"/>
    <n v="6.75"/>
  </r>
  <r>
    <s v="ORD-0269"/>
    <s v="Randi Davey"/>
    <x v="4"/>
    <s v="Gentle Cleanser"/>
    <d v="2023-08-22T00:00:00"/>
    <d v="2023-08-25T00:00:00"/>
    <n v="5"/>
    <n v="3"/>
    <x v="0"/>
    <x v="0"/>
    <x v="1"/>
    <x v="1"/>
    <x v="5"/>
    <x v="3"/>
    <n v="3"/>
    <n v="15"/>
    <n v="7"/>
    <n v="8"/>
  </r>
  <r>
    <s v="ORD-0270"/>
    <s v="Gerrie Coppeard"/>
    <x v="4"/>
    <s v="Hydrating Cleanser"/>
    <d v="2024-09-26T00:00:00"/>
    <d v="2024-10-02T00:00:00"/>
    <n v="3"/>
    <n v="4"/>
    <x v="0"/>
    <x v="5"/>
    <x v="2"/>
    <x v="0"/>
    <x v="10"/>
    <x v="5"/>
    <n v="6"/>
    <n v="12"/>
    <n v="6"/>
    <n v="6"/>
  </r>
  <r>
    <s v="ORD-0271"/>
    <s v="Floyd Salters"/>
    <x v="4"/>
    <s v="Acne Cleanser"/>
    <d v="2023-09-06T00:00:00"/>
    <d v="2023-09-08T00:00:00"/>
    <n v="1"/>
    <n v="3.5"/>
    <x v="0"/>
    <x v="1"/>
    <x v="1"/>
    <x v="1"/>
    <x v="10"/>
    <x v="4"/>
    <n v="2"/>
    <n v="3.5"/>
    <n v="2"/>
    <n v="1.5"/>
  </r>
  <r>
    <s v="ORD-0272"/>
    <s v="Tull Grisedale"/>
    <x v="4"/>
    <s v="Gentle Cleanser"/>
    <d v="2023-07-17T00:00:00"/>
    <d v="2023-07-19T00:00:00"/>
    <n v="2"/>
    <n v="3"/>
    <x v="0"/>
    <x v="1"/>
    <x v="2"/>
    <x v="1"/>
    <x v="1"/>
    <x v="2"/>
    <n v="2"/>
    <n v="6"/>
    <n v="3"/>
    <n v="3"/>
  </r>
  <r>
    <s v="ORD-0273"/>
    <s v="Lyssa Evered"/>
    <x v="0"/>
    <s v="Gel Moisturizer"/>
    <d v="2023-10-23T00:00:00"/>
    <d v="2023-10-25T00:00:00"/>
    <n v="3"/>
    <n v="5.75"/>
    <x v="0"/>
    <x v="2"/>
    <x v="2"/>
    <x v="1"/>
    <x v="7"/>
    <x v="2"/>
    <n v="2"/>
    <n v="17.25"/>
    <n v="9"/>
    <n v="8.25"/>
  </r>
  <r>
    <s v="ORD-0274"/>
    <s v="Carina Aseef"/>
    <x v="2"/>
    <s v="Hyaluronic Acid Serum"/>
    <d v="2024-08-09T00:00:00"/>
    <d v="2024-08-11T00:00:00"/>
    <n v="3"/>
    <n v="8.75"/>
    <x v="0"/>
    <x v="5"/>
    <x v="0"/>
    <x v="0"/>
    <x v="5"/>
    <x v="6"/>
    <n v="2"/>
    <n v="26.25"/>
    <n v="15"/>
    <n v="11.25"/>
  </r>
  <r>
    <s v="ORD-0275"/>
    <s v="Helaina Yeliashev"/>
    <x v="4"/>
    <s v="Acne Cleanser"/>
    <d v="2024-10-27T00:00:00"/>
    <d v="2024-11-03T00:00:00"/>
    <n v="2"/>
    <n v="3.5"/>
    <x v="1"/>
    <x v="0"/>
    <x v="2"/>
    <x v="0"/>
    <x v="7"/>
    <x v="1"/>
    <n v="7"/>
    <n v="7"/>
    <n v="3"/>
    <n v="4"/>
  </r>
  <r>
    <s v="ORD-0276"/>
    <s v="Hollis Pock"/>
    <x v="4"/>
    <s v="Gentle Cleanser"/>
    <d v="2024-05-30T00:00:00"/>
    <d v="2024-06-06T00:00:00"/>
    <n v="4"/>
    <n v="3"/>
    <x v="1"/>
    <x v="1"/>
    <x v="1"/>
    <x v="0"/>
    <x v="9"/>
    <x v="5"/>
    <n v="7"/>
    <n v="12"/>
    <n v="6"/>
    <n v="6"/>
  </r>
  <r>
    <s v="ORD-0277"/>
    <s v="Melitta Hallatt"/>
    <x v="4"/>
    <s v="Acne Cleanser"/>
    <d v="2023-08-01T00:00:00"/>
    <d v="2023-08-04T00:00:00"/>
    <n v="2"/>
    <n v="3.5"/>
    <x v="0"/>
    <x v="2"/>
    <x v="2"/>
    <x v="1"/>
    <x v="5"/>
    <x v="3"/>
    <n v="3"/>
    <n v="7"/>
    <n v="3"/>
    <n v="4"/>
  </r>
  <r>
    <s v="ORD-0278"/>
    <s v="Theodosia Skae"/>
    <x v="1"/>
    <s v="Sunscreen SPF 30"/>
    <d v="2024-05-22T00:00:00"/>
    <d v="2024-05-24T00:00:00"/>
    <n v="2"/>
    <n v="4.75"/>
    <x v="0"/>
    <x v="0"/>
    <x v="2"/>
    <x v="0"/>
    <x v="9"/>
    <x v="4"/>
    <n v="2"/>
    <n v="9.5"/>
    <n v="5"/>
    <n v="4.5"/>
  </r>
  <r>
    <s v="ORD-0279"/>
    <s v="Cynde Assante"/>
    <x v="4"/>
    <s v="Brightening Cleanser"/>
    <d v="2024-02-09T00:00:00"/>
    <d v="2024-02-14T00:00:00"/>
    <n v="1"/>
    <n v="3.75"/>
    <x v="0"/>
    <x v="2"/>
    <x v="2"/>
    <x v="0"/>
    <x v="3"/>
    <x v="6"/>
    <n v="5"/>
    <n v="3.75"/>
    <n v="2"/>
    <n v="1.75"/>
  </r>
  <r>
    <s v="ORD-0280"/>
    <s v="Jereme Brimelow"/>
    <x v="3"/>
    <s v="Acne Toner"/>
    <d v="2023-11-02T00:00:00"/>
    <d v="2023-11-04T00:00:00"/>
    <n v="3"/>
    <n v="4.5"/>
    <x v="0"/>
    <x v="3"/>
    <x v="0"/>
    <x v="1"/>
    <x v="2"/>
    <x v="5"/>
    <n v="2"/>
    <n v="13.5"/>
    <n v="7"/>
    <n v="6.5"/>
  </r>
  <r>
    <s v="ORD-0281"/>
    <s v="Lyn Hobbema"/>
    <x v="2"/>
    <s v="Retinol Serum"/>
    <d v="2023-12-17T00:00:00"/>
    <d v="2023-12-23T00:00:00"/>
    <n v="2"/>
    <n v="10"/>
    <x v="0"/>
    <x v="5"/>
    <x v="1"/>
    <x v="1"/>
    <x v="8"/>
    <x v="1"/>
    <n v="6"/>
    <n v="20"/>
    <n v="13"/>
    <n v="7"/>
  </r>
  <r>
    <s v="ORD-0282"/>
    <s v="Tiffy Russo"/>
    <x v="4"/>
    <s v="Hydrating Cleanser"/>
    <d v="2024-03-27T00:00:00"/>
    <d v="2024-04-08T00:00:00"/>
    <n v="3"/>
    <n v="4"/>
    <x v="0"/>
    <x v="0"/>
    <x v="1"/>
    <x v="0"/>
    <x v="0"/>
    <x v="4"/>
    <n v="12"/>
    <n v="12"/>
    <n v="6"/>
    <n v="6"/>
  </r>
  <r>
    <s v="ORD-0283"/>
    <s v="Wolf Klos"/>
    <x v="0"/>
    <s v="Night Cream"/>
    <d v="2024-09-12T00:00:00"/>
    <d v="2024-09-14T00:00:00"/>
    <n v="4"/>
    <n v="6.5"/>
    <x v="0"/>
    <x v="2"/>
    <x v="2"/>
    <x v="0"/>
    <x v="10"/>
    <x v="5"/>
    <n v="2"/>
    <n v="26"/>
    <n v="15"/>
    <n v="11"/>
  </r>
  <r>
    <s v="ORD-0284"/>
    <s v="Gard Duckinfield"/>
    <x v="4"/>
    <s v="Gentle Cleanser"/>
    <d v="2024-07-01T00:00:00"/>
    <d v="2024-07-02T00:00:00"/>
    <n v="5"/>
    <n v="3"/>
    <x v="0"/>
    <x v="5"/>
    <x v="1"/>
    <x v="0"/>
    <x v="1"/>
    <x v="2"/>
    <n v="1"/>
    <n v="15"/>
    <n v="7"/>
    <n v="8"/>
  </r>
  <r>
    <s v="ORD-0285"/>
    <s v="Gertrudis Emsley"/>
    <x v="1"/>
    <s v="Sunscreen SPF 30"/>
    <d v="2023-08-15T00:00:00"/>
    <d v="2023-08-22T00:00:00"/>
    <n v="4"/>
    <n v="4.75"/>
    <x v="0"/>
    <x v="0"/>
    <x v="2"/>
    <x v="1"/>
    <x v="5"/>
    <x v="3"/>
    <n v="7"/>
    <n v="19"/>
    <n v="10"/>
    <n v="9"/>
  </r>
  <r>
    <s v="ORD-0286"/>
    <s v="Xever Harniman"/>
    <x v="2"/>
    <s v="Retinol Serum"/>
    <d v="2024-08-01T00:00:00"/>
    <d v="2024-08-04T00:00:00"/>
    <n v="2"/>
    <n v="10"/>
    <x v="0"/>
    <x v="3"/>
    <x v="0"/>
    <x v="0"/>
    <x v="5"/>
    <x v="5"/>
    <n v="3"/>
    <n v="20"/>
    <n v="13"/>
    <n v="7"/>
  </r>
  <r>
    <s v="ORD-0287"/>
    <s v="Minnaminnie Coo"/>
    <x v="2"/>
    <s v="Vitamin C Serum"/>
    <d v="2023-11-26T00:00:00"/>
    <d v="2023-11-30T00:00:00"/>
    <n v="5"/>
    <n v="8.5"/>
    <x v="1"/>
    <x v="3"/>
    <x v="2"/>
    <x v="1"/>
    <x v="2"/>
    <x v="1"/>
    <n v="4"/>
    <n v="42.5"/>
    <n v="26"/>
    <n v="16.5"/>
  </r>
  <r>
    <s v="ORD-0288"/>
    <s v="Wallis Giannassi"/>
    <x v="1"/>
    <s v="Sensitive Sunscreen"/>
    <d v="2024-04-30T00:00:00"/>
    <d v="2024-05-01T00:00:00"/>
    <n v="1"/>
    <n v="5.5"/>
    <x v="0"/>
    <x v="3"/>
    <x v="2"/>
    <x v="0"/>
    <x v="6"/>
    <x v="3"/>
    <n v="1"/>
    <n v="5.5"/>
    <n v="3"/>
    <n v="2.5"/>
  </r>
  <r>
    <s v="ORD-0289"/>
    <s v="Nomi Whickman"/>
    <x v="4"/>
    <s v="Acne Cleanser"/>
    <d v="2024-04-02T00:00:00"/>
    <d v="2024-04-04T00:00:00"/>
    <n v="1"/>
    <n v="3.5"/>
    <x v="0"/>
    <x v="0"/>
    <x v="2"/>
    <x v="0"/>
    <x v="6"/>
    <x v="3"/>
    <n v="2"/>
    <n v="3.5"/>
    <n v="2"/>
    <n v="1.5"/>
  </r>
  <r>
    <s v="ORD-0290"/>
    <s v="Adeline Kinnard"/>
    <x v="0"/>
    <s v="Daily Moisturizer"/>
    <d v="2024-02-28T00:00:00"/>
    <d v="2024-03-06T00:00:00"/>
    <n v="2"/>
    <n v="5.5"/>
    <x v="0"/>
    <x v="1"/>
    <x v="2"/>
    <x v="0"/>
    <x v="3"/>
    <x v="4"/>
    <n v="7"/>
    <n v="11"/>
    <n v="6"/>
    <n v="5"/>
  </r>
  <r>
    <s v="ORD-0291"/>
    <s v="Wolfgang Rentalll"/>
    <x v="4"/>
    <s v="Gentle Cleanser"/>
    <d v="2024-05-02T00:00:00"/>
    <d v="2024-05-05T00:00:00"/>
    <n v="3"/>
    <n v="3"/>
    <x v="0"/>
    <x v="5"/>
    <x v="2"/>
    <x v="0"/>
    <x v="9"/>
    <x v="5"/>
    <n v="3"/>
    <n v="9"/>
    <n v="4"/>
    <n v="5"/>
  </r>
  <r>
    <s v="ORD-0292"/>
    <s v="Johnnie Sercombe"/>
    <x v="2"/>
    <s v="Vitamin C Serum"/>
    <d v="2024-07-30T00:00:00"/>
    <d v="2024-07-31T00:00:00"/>
    <n v="2"/>
    <n v="8.5"/>
    <x v="1"/>
    <x v="0"/>
    <x v="2"/>
    <x v="0"/>
    <x v="1"/>
    <x v="3"/>
    <n v="1"/>
    <n v="17"/>
    <n v="10"/>
    <n v="7"/>
  </r>
  <r>
    <s v="ORD-0293"/>
    <s v="Hildy Tebbit"/>
    <x v="2"/>
    <s v="Retinol Serum"/>
    <d v="2024-02-01T00:00:00"/>
    <d v="2024-02-04T00:00:00"/>
    <n v="5"/>
    <n v="10"/>
    <x v="0"/>
    <x v="0"/>
    <x v="0"/>
    <x v="0"/>
    <x v="3"/>
    <x v="5"/>
    <n v="3"/>
    <n v="50"/>
    <n v="33"/>
    <n v="17"/>
  </r>
  <r>
    <s v="ORD-0294"/>
    <s v="Rhiamon Purdie"/>
    <x v="2"/>
    <s v="Niacinamide Serum"/>
    <d v="2023-12-13T00:00:00"/>
    <d v="2023-12-14T00:00:00"/>
    <n v="4"/>
    <n v="8"/>
    <x v="0"/>
    <x v="4"/>
    <x v="2"/>
    <x v="1"/>
    <x v="8"/>
    <x v="4"/>
    <n v="1"/>
    <n v="32"/>
    <n v="19"/>
    <n v="13"/>
  </r>
  <r>
    <s v="ORD-0295"/>
    <s v="Cate Swash"/>
    <x v="0"/>
    <s v="Gel Moisturizer"/>
    <d v="2024-01-28T00:00:00"/>
    <d v="2024-02-02T00:00:00"/>
    <n v="3"/>
    <n v="5.75"/>
    <x v="0"/>
    <x v="5"/>
    <x v="2"/>
    <x v="0"/>
    <x v="11"/>
    <x v="1"/>
    <n v="5"/>
    <n v="17.25"/>
    <n v="9"/>
    <n v="8.25"/>
  </r>
  <r>
    <s v="ORD-0296"/>
    <s v="Towney Markey"/>
    <x v="2"/>
    <s v="Niacinamide Serum"/>
    <d v="2024-06-07T00:00:00"/>
    <d v="2024-06-09T00:00:00"/>
    <n v="2"/>
    <n v="8"/>
    <x v="0"/>
    <x v="2"/>
    <x v="0"/>
    <x v="0"/>
    <x v="4"/>
    <x v="6"/>
    <n v="2"/>
    <n v="16"/>
    <n v="9"/>
    <n v="7"/>
  </r>
  <r>
    <s v="ORD-0297"/>
    <s v="Pincas Hinchon"/>
    <x v="2"/>
    <s v="Vitamin C Serum"/>
    <d v="2024-02-18T00:00:00"/>
    <d v="2024-02-19T00:00:00"/>
    <n v="1"/>
    <n v="8.5"/>
    <x v="0"/>
    <x v="3"/>
    <x v="0"/>
    <x v="0"/>
    <x v="3"/>
    <x v="1"/>
    <n v="1"/>
    <n v="8.5"/>
    <n v="5"/>
    <n v="3.5"/>
  </r>
  <r>
    <s v="ORD-0298"/>
    <s v="Zelig Laise"/>
    <x v="2"/>
    <s v="Niacinamide Serum"/>
    <d v="2024-05-25T00:00:00"/>
    <d v="2024-05-26T00:00:00"/>
    <n v="1"/>
    <n v="8"/>
    <x v="0"/>
    <x v="2"/>
    <x v="1"/>
    <x v="0"/>
    <x v="9"/>
    <x v="0"/>
    <n v="1"/>
    <n v="8"/>
    <n v="5"/>
    <n v="3"/>
  </r>
  <r>
    <s v="ORD-0299"/>
    <s v="Ethelin Gronou"/>
    <x v="2"/>
    <s v="Niacinamide Serum"/>
    <d v="2023-07-01T00:00:00"/>
    <d v="2023-07-04T00:00:00"/>
    <n v="4"/>
    <n v="8"/>
    <x v="0"/>
    <x v="5"/>
    <x v="2"/>
    <x v="1"/>
    <x v="1"/>
    <x v="0"/>
    <n v="3"/>
    <n v="32"/>
    <n v="19"/>
    <n v="13"/>
  </r>
  <r>
    <s v="ORD-0300"/>
    <s v="Harrie Ort"/>
    <x v="4"/>
    <s v="Hydrating Cleanser"/>
    <d v="2024-06-28T00:00:00"/>
    <d v="2024-06-29T00:00:00"/>
    <n v="4"/>
    <n v="4"/>
    <x v="0"/>
    <x v="1"/>
    <x v="2"/>
    <x v="0"/>
    <x v="4"/>
    <x v="6"/>
    <n v="1"/>
    <n v="16"/>
    <n v="8"/>
    <n v="8"/>
  </r>
  <r>
    <s v="ORD-0301"/>
    <s v="Devi Mooney"/>
    <x v="1"/>
    <s v="Sensitive Sunscreen"/>
    <d v="2024-09-23T00:00:00"/>
    <d v="2024-09-25T00:00:00"/>
    <n v="4"/>
    <n v="5.5"/>
    <x v="0"/>
    <x v="0"/>
    <x v="2"/>
    <x v="0"/>
    <x v="10"/>
    <x v="2"/>
    <n v="2"/>
    <n v="22"/>
    <n v="13"/>
    <n v="9"/>
  </r>
  <r>
    <s v="ORD-0302"/>
    <s v="Killy Moakes"/>
    <x v="3"/>
    <s v="Acne Toner"/>
    <d v="2024-01-30T00:00:00"/>
    <d v="2024-02-01T00:00:00"/>
    <n v="3"/>
    <n v="4.5"/>
    <x v="0"/>
    <x v="2"/>
    <x v="1"/>
    <x v="0"/>
    <x v="11"/>
    <x v="3"/>
    <n v="2"/>
    <n v="13.5"/>
    <n v="7"/>
    <n v="6.5"/>
  </r>
  <r>
    <s v="ORD-0303"/>
    <s v="Berrie Gilliam"/>
    <x v="0"/>
    <s v="Night Cream"/>
    <d v="2023-12-04T00:00:00"/>
    <d v="2023-12-11T00:00:00"/>
    <n v="4"/>
    <n v="6.5"/>
    <x v="0"/>
    <x v="3"/>
    <x v="1"/>
    <x v="1"/>
    <x v="8"/>
    <x v="2"/>
    <n v="7"/>
    <n v="26"/>
    <n v="15"/>
    <n v="11"/>
  </r>
  <r>
    <s v="ORD-0304"/>
    <s v="Blakelee Curme"/>
    <x v="2"/>
    <s v="Vitamin C Serum"/>
    <d v="2024-06-27T00:00:00"/>
    <d v="2024-06-30T00:00:00"/>
    <n v="5"/>
    <n v="8.5"/>
    <x v="0"/>
    <x v="0"/>
    <x v="0"/>
    <x v="0"/>
    <x v="4"/>
    <x v="5"/>
    <n v="3"/>
    <n v="42.5"/>
    <n v="26"/>
    <n v="16.5"/>
  </r>
  <r>
    <s v="ORD-0305"/>
    <s v="Dare Scarsbrick"/>
    <x v="4"/>
    <s v="Brightening Cleanser"/>
    <d v="2023-12-30T00:00:00"/>
    <d v="2024-01-01T00:00:00"/>
    <n v="3"/>
    <n v="3.75"/>
    <x v="0"/>
    <x v="1"/>
    <x v="2"/>
    <x v="1"/>
    <x v="8"/>
    <x v="0"/>
    <n v="2"/>
    <n v="11.25"/>
    <n v="6"/>
    <n v="5.25"/>
  </r>
  <r>
    <s v="ORD-0306"/>
    <s v="Dinnie Quested"/>
    <x v="0"/>
    <s v="Daily Moisturizer"/>
    <d v="2024-03-26T00:00:00"/>
    <d v="2024-03-28T00:00:00"/>
    <n v="4"/>
    <n v="5.5"/>
    <x v="0"/>
    <x v="0"/>
    <x v="1"/>
    <x v="0"/>
    <x v="0"/>
    <x v="3"/>
    <n v="2"/>
    <n v="22"/>
    <n v="11"/>
    <n v="11"/>
  </r>
  <r>
    <s v="ORD-0307"/>
    <s v="Drusy Dunsleve"/>
    <x v="1"/>
    <s v="Sunscreen SPF 30"/>
    <d v="2024-07-05T00:00:00"/>
    <d v="2024-07-07T00:00:00"/>
    <n v="1"/>
    <n v="4.75"/>
    <x v="0"/>
    <x v="0"/>
    <x v="0"/>
    <x v="0"/>
    <x v="1"/>
    <x v="6"/>
    <n v="2"/>
    <n v="4.75"/>
    <n v="3"/>
    <n v="1.75"/>
  </r>
  <r>
    <s v="ORD-0308"/>
    <s v="Kimberli Brockett"/>
    <x v="3"/>
    <s v="Brightening Toner"/>
    <d v="2024-04-23T00:00:00"/>
    <d v="2024-04-25T00:00:00"/>
    <n v="1"/>
    <n v="4.5"/>
    <x v="1"/>
    <x v="3"/>
    <x v="2"/>
    <x v="0"/>
    <x v="6"/>
    <x v="3"/>
    <n v="2"/>
    <n v="4.5"/>
    <n v="2"/>
    <n v="2.5"/>
  </r>
  <r>
    <s v="ORD-0309"/>
    <s v="Bendite Pietroni"/>
    <x v="4"/>
    <s v="Acne Cleanser"/>
    <d v="2024-02-23T00:00:00"/>
    <d v="2024-02-25T00:00:00"/>
    <n v="1"/>
    <n v="3.5"/>
    <x v="0"/>
    <x v="5"/>
    <x v="1"/>
    <x v="0"/>
    <x v="3"/>
    <x v="6"/>
    <n v="2"/>
    <n v="3.5"/>
    <n v="2"/>
    <n v="1.5"/>
  </r>
  <r>
    <s v="ORD-0310"/>
    <s v="Hoyt Lonsdale"/>
    <x v="4"/>
    <s v="Hydrating Cleanser"/>
    <d v="2024-07-30T00:00:00"/>
    <d v="2024-08-01T00:00:00"/>
    <n v="2"/>
    <n v="4"/>
    <x v="0"/>
    <x v="4"/>
    <x v="2"/>
    <x v="0"/>
    <x v="1"/>
    <x v="3"/>
    <n v="2"/>
    <n v="8"/>
    <n v="4"/>
    <n v="4"/>
  </r>
  <r>
    <s v="ORD-0311"/>
    <s v="Annie Doudny"/>
    <x v="4"/>
    <s v="Gentle Cleanser"/>
    <d v="2024-01-28T00:00:00"/>
    <d v="2024-01-29T00:00:00"/>
    <n v="5"/>
    <n v="3"/>
    <x v="0"/>
    <x v="1"/>
    <x v="1"/>
    <x v="0"/>
    <x v="11"/>
    <x v="1"/>
    <n v="1"/>
    <n v="15"/>
    <n v="7"/>
    <n v="8"/>
  </r>
  <r>
    <s v="ORD-0312"/>
    <s v="Ian Sondon"/>
    <x v="3"/>
    <s v="Brightening Toner"/>
    <d v="2023-07-01T00:00:00"/>
    <d v="2023-07-04T00:00:00"/>
    <n v="5"/>
    <n v="4.5"/>
    <x v="0"/>
    <x v="1"/>
    <x v="2"/>
    <x v="1"/>
    <x v="1"/>
    <x v="0"/>
    <n v="3"/>
    <n v="22.5"/>
    <n v="12"/>
    <n v="10.5"/>
  </r>
  <r>
    <s v="ORD-0313"/>
    <s v="Linette Marvelley"/>
    <x v="1"/>
    <s v="Sensitive Sunscreen"/>
    <d v="2023-07-13T00:00:00"/>
    <d v="2023-07-19T00:00:00"/>
    <n v="5"/>
    <n v="5.5"/>
    <x v="1"/>
    <x v="0"/>
    <x v="2"/>
    <x v="1"/>
    <x v="1"/>
    <x v="5"/>
    <n v="6"/>
    <n v="27.5"/>
    <n v="17"/>
    <n v="10.5"/>
  </r>
  <r>
    <s v="ORD-0314"/>
    <s v="Giffer Ikringill"/>
    <x v="0"/>
    <s v="Daily Moisturizer"/>
    <d v="2024-01-07T00:00:00"/>
    <d v="2024-01-13T00:00:00"/>
    <n v="1"/>
    <n v="5.5"/>
    <x v="0"/>
    <x v="1"/>
    <x v="1"/>
    <x v="0"/>
    <x v="11"/>
    <x v="1"/>
    <n v="6"/>
    <n v="5.5"/>
    <n v="3"/>
    <n v="2.5"/>
  </r>
  <r>
    <s v="ORD-0315"/>
    <s v="Lexis Labram"/>
    <x v="3"/>
    <s v="Acne Toner"/>
    <d v="2024-08-26T00:00:00"/>
    <d v="2024-08-29T00:00:00"/>
    <n v="2"/>
    <n v="4.5"/>
    <x v="0"/>
    <x v="3"/>
    <x v="1"/>
    <x v="0"/>
    <x v="5"/>
    <x v="2"/>
    <n v="3"/>
    <n v="9"/>
    <n v="5"/>
    <n v="4"/>
  </r>
  <r>
    <s v="ORD-0316"/>
    <s v="Alexandra Ranson"/>
    <x v="1"/>
    <s v="Sunscreen SPF 50"/>
    <d v="2023-09-20T00:00:00"/>
    <d v="2023-09-22T00:00:00"/>
    <n v="3"/>
    <n v="5"/>
    <x v="0"/>
    <x v="0"/>
    <x v="0"/>
    <x v="1"/>
    <x v="10"/>
    <x v="4"/>
    <n v="2"/>
    <n v="15"/>
    <n v="8"/>
    <n v="7"/>
  </r>
  <r>
    <s v="ORD-0317"/>
    <s v="Diarmid Ferris"/>
    <x v="1"/>
    <s v="Matte Sunscreen"/>
    <d v="2024-10-10T00:00:00"/>
    <d v="2024-10-13T00:00:00"/>
    <n v="4"/>
    <n v="5.25"/>
    <x v="1"/>
    <x v="2"/>
    <x v="2"/>
    <x v="0"/>
    <x v="7"/>
    <x v="5"/>
    <n v="3"/>
    <n v="21"/>
    <n v="12"/>
    <n v="9"/>
  </r>
  <r>
    <s v="ORD-0318"/>
    <s v="Burch Hardwicke"/>
    <x v="4"/>
    <s v="Hydrating Cleanser"/>
    <d v="2023-07-07T00:00:00"/>
    <d v="2023-07-09T00:00:00"/>
    <n v="5"/>
    <n v="4"/>
    <x v="0"/>
    <x v="3"/>
    <x v="2"/>
    <x v="1"/>
    <x v="1"/>
    <x v="6"/>
    <n v="2"/>
    <n v="20"/>
    <n v="10"/>
    <n v="10"/>
  </r>
  <r>
    <s v="ORD-0319"/>
    <s v="Alison Rheaume"/>
    <x v="2"/>
    <s v="Niacinamide Serum"/>
    <d v="2024-02-03T00:00:00"/>
    <d v="2024-02-10T00:00:00"/>
    <n v="1"/>
    <n v="8"/>
    <x v="0"/>
    <x v="3"/>
    <x v="2"/>
    <x v="0"/>
    <x v="3"/>
    <x v="0"/>
    <n v="7"/>
    <n v="8"/>
    <n v="5"/>
    <n v="3"/>
  </r>
  <r>
    <s v="ORD-0320"/>
    <s v="Hansiain Bakhrushkin"/>
    <x v="1"/>
    <s v="Sensitive Sunscreen"/>
    <d v="2024-05-12T00:00:00"/>
    <d v="2024-05-13T00:00:00"/>
    <n v="3"/>
    <n v="5.5"/>
    <x v="0"/>
    <x v="0"/>
    <x v="2"/>
    <x v="0"/>
    <x v="9"/>
    <x v="1"/>
    <n v="1"/>
    <n v="16.5"/>
    <n v="10"/>
    <n v="6.5"/>
  </r>
  <r>
    <s v="ORD-0321"/>
    <s v="Austina Milnes"/>
    <x v="1"/>
    <s v="Sensitive Sunscreen"/>
    <d v="2024-08-10T00:00:00"/>
    <d v="2024-08-15T00:00:00"/>
    <n v="2"/>
    <n v="5.5"/>
    <x v="0"/>
    <x v="0"/>
    <x v="2"/>
    <x v="0"/>
    <x v="5"/>
    <x v="0"/>
    <n v="5"/>
    <n v="11"/>
    <n v="7"/>
    <n v="4"/>
  </r>
  <r>
    <s v="ORD-0322"/>
    <s v="Brigg Outerbridge"/>
    <x v="0"/>
    <s v="Night Cream"/>
    <d v="2023-09-21T00:00:00"/>
    <d v="2023-09-23T00:00:00"/>
    <n v="1"/>
    <n v="6.5"/>
    <x v="0"/>
    <x v="0"/>
    <x v="1"/>
    <x v="1"/>
    <x v="10"/>
    <x v="5"/>
    <n v="2"/>
    <n v="6.5"/>
    <n v="4"/>
    <n v="2.5"/>
  </r>
  <r>
    <s v="ORD-0323"/>
    <s v="Mandel Shadrack"/>
    <x v="1"/>
    <s v="Sensitive Sunscreen"/>
    <d v="2024-07-30T00:00:00"/>
    <d v="2024-08-11T00:00:00"/>
    <n v="2"/>
    <n v="5.5"/>
    <x v="0"/>
    <x v="2"/>
    <x v="0"/>
    <x v="0"/>
    <x v="1"/>
    <x v="3"/>
    <n v="12"/>
    <n v="11"/>
    <n v="7"/>
    <n v="4"/>
  </r>
  <r>
    <s v="ORD-0324"/>
    <s v="Ferdinande Briscow"/>
    <x v="0"/>
    <s v="Night Cream"/>
    <d v="2024-06-11T00:00:00"/>
    <d v="2024-06-12T00:00:00"/>
    <n v="4"/>
    <n v="6.5"/>
    <x v="1"/>
    <x v="5"/>
    <x v="0"/>
    <x v="0"/>
    <x v="4"/>
    <x v="3"/>
    <n v="1"/>
    <n v="26"/>
    <n v="15"/>
    <n v="11"/>
  </r>
  <r>
    <s v="ORD-0325"/>
    <s v="Blinni Chattoe"/>
    <x v="3"/>
    <s v="Brightening Toner"/>
    <d v="2024-05-23T00:00:00"/>
    <d v="2024-05-24T00:00:00"/>
    <n v="2"/>
    <n v="4.5"/>
    <x v="0"/>
    <x v="2"/>
    <x v="0"/>
    <x v="0"/>
    <x v="9"/>
    <x v="5"/>
    <n v="1"/>
    <n v="9"/>
    <n v="5"/>
    <n v="4"/>
  </r>
  <r>
    <s v="ORD-0326"/>
    <s v="Cullan Janczyk"/>
    <x v="2"/>
    <s v="Retinol Serum"/>
    <d v="2023-08-03T00:00:00"/>
    <d v="2023-08-07T00:00:00"/>
    <n v="5"/>
    <n v="10"/>
    <x v="0"/>
    <x v="0"/>
    <x v="0"/>
    <x v="1"/>
    <x v="5"/>
    <x v="5"/>
    <n v="4"/>
    <n v="50"/>
    <n v="33"/>
    <n v="17"/>
  </r>
  <r>
    <s v="ORD-0327"/>
    <s v="Nicky Hefferon"/>
    <x v="1"/>
    <s v="Sunscreen SPF 50"/>
    <d v="2023-11-23T00:00:00"/>
    <d v="2023-11-29T00:00:00"/>
    <n v="3"/>
    <n v="5"/>
    <x v="0"/>
    <x v="3"/>
    <x v="0"/>
    <x v="1"/>
    <x v="2"/>
    <x v="5"/>
    <n v="6"/>
    <n v="15"/>
    <n v="8"/>
    <n v="7"/>
  </r>
  <r>
    <s v="ORD-0328"/>
    <s v="Lawton MacHostie"/>
    <x v="0"/>
    <s v="Repair Cream"/>
    <d v="2024-09-14T00:00:00"/>
    <d v="2024-09-26T00:00:00"/>
    <n v="4"/>
    <n v="6.25"/>
    <x v="0"/>
    <x v="0"/>
    <x v="0"/>
    <x v="0"/>
    <x v="10"/>
    <x v="0"/>
    <n v="12"/>
    <n v="25"/>
    <n v="14"/>
    <n v="11"/>
  </r>
  <r>
    <s v="ORD-0329"/>
    <s v="Viole Rands"/>
    <x v="0"/>
    <s v="Gel Moisturizer"/>
    <d v="2024-07-16T00:00:00"/>
    <d v="2024-07-17T00:00:00"/>
    <n v="1"/>
    <n v="5.75"/>
    <x v="0"/>
    <x v="0"/>
    <x v="1"/>
    <x v="0"/>
    <x v="1"/>
    <x v="3"/>
    <n v="1"/>
    <n v="5.75"/>
    <n v="3"/>
    <n v="2.75"/>
  </r>
  <r>
    <s v="ORD-0330"/>
    <s v="Moria Puig"/>
    <x v="4"/>
    <s v="Gentle Cleanser"/>
    <d v="2023-08-04T00:00:00"/>
    <d v="2023-08-06T00:00:00"/>
    <n v="1"/>
    <n v="3"/>
    <x v="0"/>
    <x v="2"/>
    <x v="2"/>
    <x v="1"/>
    <x v="5"/>
    <x v="6"/>
    <n v="2"/>
    <n v="3"/>
    <n v="1"/>
    <n v="2"/>
  </r>
  <r>
    <s v="ORD-0331"/>
    <s v="Cherilyn Ida"/>
    <x v="4"/>
    <s v="Gentle Cleanser"/>
    <d v="2023-08-06T00:00:00"/>
    <d v="2023-08-11T00:00:00"/>
    <n v="1"/>
    <n v="3"/>
    <x v="1"/>
    <x v="3"/>
    <x v="2"/>
    <x v="1"/>
    <x v="5"/>
    <x v="1"/>
    <n v="5"/>
    <n v="3"/>
    <n v="1"/>
    <n v="2"/>
  </r>
  <r>
    <s v="ORD-0332"/>
    <s v="Franni Dowderswell"/>
    <x v="4"/>
    <s v="Acne Cleanser"/>
    <d v="2024-04-08T00:00:00"/>
    <d v="2024-04-09T00:00:00"/>
    <n v="2"/>
    <n v="3.5"/>
    <x v="0"/>
    <x v="2"/>
    <x v="0"/>
    <x v="0"/>
    <x v="6"/>
    <x v="2"/>
    <n v="1"/>
    <n v="7"/>
    <n v="3"/>
    <n v="4"/>
  </r>
  <r>
    <s v="ORD-0333"/>
    <s v="Taylor Loosemore"/>
    <x v="4"/>
    <s v="Gentle Cleanser"/>
    <d v="2024-02-07T00:00:00"/>
    <d v="2024-02-09T00:00:00"/>
    <n v="3"/>
    <n v="3"/>
    <x v="0"/>
    <x v="1"/>
    <x v="2"/>
    <x v="0"/>
    <x v="3"/>
    <x v="4"/>
    <n v="2"/>
    <n v="9"/>
    <n v="4"/>
    <n v="5"/>
  </r>
  <r>
    <s v="ORD-0334"/>
    <s v="Kessiah Danilchev"/>
    <x v="0"/>
    <s v="Daily Moisturizer"/>
    <d v="2023-07-23T00:00:00"/>
    <d v="2023-07-28T00:00:00"/>
    <n v="2"/>
    <n v="5.5"/>
    <x v="0"/>
    <x v="3"/>
    <x v="1"/>
    <x v="1"/>
    <x v="1"/>
    <x v="1"/>
    <n v="5"/>
    <n v="11"/>
    <n v="6"/>
    <n v="5"/>
  </r>
  <r>
    <s v="ORD-0335"/>
    <s v="Jillie Gosforth"/>
    <x v="2"/>
    <s v="Niacinamide Serum"/>
    <d v="2024-09-25T00:00:00"/>
    <d v="2024-09-27T00:00:00"/>
    <n v="2"/>
    <n v="8"/>
    <x v="0"/>
    <x v="3"/>
    <x v="1"/>
    <x v="0"/>
    <x v="10"/>
    <x v="4"/>
    <n v="2"/>
    <n v="16"/>
    <n v="9"/>
    <n v="7"/>
  </r>
  <r>
    <s v="ORD-0336"/>
    <s v="Forrester Ferreres"/>
    <x v="0"/>
    <s v="Gel Moisturizer"/>
    <d v="2024-03-31T00:00:00"/>
    <d v="2024-04-01T00:00:00"/>
    <n v="1"/>
    <n v="5.75"/>
    <x v="0"/>
    <x v="5"/>
    <x v="2"/>
    <x v="0"/>
    <x v="0"/>
    <x v="1"/>
    <n v="1"/>
    <n v="5.75"/>
    <n v="3"/>
    <n v="2.75"/>
  </r>
  <r>
    <s v="ORD-0337"/>
    <s v="Hildagarde Camillo"/>
    <x v="0"/>
    <s v="Gel Moisturizer"/>
    <d v="2023-12-06T00:00:00"/>
    <d v="2023-12-09T00:00:00"/>
    <n v="2"/>
    <n v="5.75"/>
    <x v="0"/>
    <x v="1"/>
    <x v="0"/>
    <x v="1"/>
    <x v="8"/>
    <x v="4"/>
    <n v="3"/>
    <n v="11.5"/>
    <n v="6"/>
    <n v="5.5"/>
  </r>
  <r>
    <s v="ORD-0338"/>
    <s v="Yolanthe Darke"/>
    <x v="3"/>
    <s v="Brightening Toner"/>
    <d v="2024-09-22T00:00:00"/>
    <d v="2024-09-30T00:00:00"/>
    <n v="3"/>
    <n v="4.5"/>
    <x v="0"/>
    <x v="1"/>
    <x v="2"/>
    <x v="0"/>
    <x v="10"/>
    <x v="1"/>
    <n v="8"/>
    <n v="13.5"/>
    <n v="7"/>
    <n v="6.5"/>
  </r>
  <r>
    <s v="ORD-0339"/>
    <s v="Laney Stoving"/>
    <x v="0"/>
    <s v="Repair Cream"/>
    <d v="2024-08-18T00:00:00"/>
    <d v="2024-08-25T00:00:00"/>
    <n v="5"/>
    <n v="6.25"/>
    <x v="1"/>
    <x v="0"/>
    <x v="0"/>
    <x v="0"/>
    <x v="5"/>
    <x v="1"/>
    <n v="7"/>
    <n v="31.25"/>
    <n v="17"/>
    <n v="14.25"/>
  </r>
  <r>
    <s v="ORD-0340"/>
    <s v="Elna Pleasants"/>
    <x v="2"/>
    <s v="Niacinamide Serum"/>
    <d v="2024-10-01T00:00:00"/>
    <d v="2024-10-05T00:00:00"/>
    <n v="4"/>
    <n v="8"/>
    <x v="0"/>
    <x v="3"/>
    <x v="2"/>
    <x v="0"/>
    <x v="7"/>
    <x v="3"/>
    <n v="4"/>
    <n v="32"/>
    <n v="19"/>
    <n v="13"/>
  </r>
  <r>
    <s v="ORD-0341"/>
    <s v="Lucas Cooney"/>
    <x v="2"/>
    <s v="Niacinamide Serum"/>
    <d v="2024-02-04T00:00:00"/>
    <d v="2024-02-10T00:00:00"/>
    <n v="2"/>
    <n v="8"/>
    <x v="0"/>
    <x v="0"/>
    <x v="2"/>
    <x v="0"/>
    <x v="3"/>
    <x v="1"/>
    <n v="6"/>
    <n v="16"/>
    <n v="9"/>
    <n v="7"/>
  </r>
  <r>
    <s v="ORD-0342"/>
    <s v="Roland Wheadon"/>
    <x v="1"/>
    <s v="Sunscreen SPF 50"/>
    <d v="2023-10-23T00:00:00"/>
    <d v="2023-10-30T00:00:00"/>
    <n v="3"/>
    <n v="5"/>
    <x v="0"/>
    <x v="0"/>
    <x v="2"/>
    <x v="1"/>
    <x v="7"/>
    <x v="2"/>
    <n v="7"/>
    <n v="15"/>
    <n v="8"/>
    <n v="7"/>
  </r>
  <r>
    <s v="ORD-0343"/>
    <s v="Gabie Farnish"/>
    <x v="3"/>
    <s v="Brightening Toner"/>
    <d v="2024-03-03T00:00:00"/>
    <d v="2024-03-06T00:00:00"/>
    <n v="3"/>
    <n v="4.5"/>
    <x v="1"/>
    <x v="1"/>
    <x v="1"/>
    <x v="0"/>
    <x v="0"/>
    <x v="1"/>
    <n v="3"/>
    <n v="13.5"/>
    <n v="7"/>
    <n v="6.5"/>
  </r>
  <r>
    <s v="ORD-0344"/>
    <s v="Floria Canape"/>
    <x v="2"/>
    <s v="Retinol Serum"/>
    <d v="2024-05-29T00:00:00"/>
    <d v="2024-06-01T00:00:00"/>
    <n v="1"/>
    <n v="10"/>
    <x v="0"/>
    <x v="5"/>
    <x v="2"/>
    <x v="0"/>
    <x v="9"/>
    <x v="4"/>
    <n v="3"/>
    <n v="10"/>
    <n v="7"/>
    <n v="3"/>
  </r>
  <r>
    <s v="ORD-0345"/>
    <s v="Rici Rengger"/>
    <x v="0"/>
    <s v="Daily Moisturizer"/>
    <d v="2024-04-26T00:00:00"/>
    <d v="2024-04-28T00:00:00"/>
    <n v="5"/>
    <n v="5.5"/>
    <x v="0"/>
    <x v="3"/>
    <x v="0"/>
    <x v="0"/>
    <x v="6"/>
    <x v="6"/>
    <n v="2"/>
    <n v="27.5"/>
    <n v="14"/>
    <n v="13.5"/>
  </r>
  <r>
    <s v="ORD-0346"/>
    <s v="Guntar Chesterton"/>
    <x v="1"/>
    <s v="Sunscreen SPF 30"/>
    <d v="2024-01-14T00:00:00"/>
    <d v="2024-01-15T00:00:00"/>
    <n v="2"/>
    <n v="4.75"/>
    <x v="0"/>
    <x v="0"/>
    <x v="0"/>
    <x v="0"/>
    <x v="11"/>
    <x v="1"/>
    <n v="1"/>
    <n v="9.5"/>
    <n v="5"/>
    <n v="4.5"/>
  </r>
  <r>
    <s v="ORD-0347"/>
    <s v="Ema Ditchburn"/>
    <x v="4"/>
    <s v="Brightening Cleanser"/>
    <d v="2023-09-27T00:00:00"/>
    <d v="2023-09-30T00:00:00"/>
    <n v="4"/>
    <n v="3.75"/>
    <x v="0"/>
    <x v="1"/>
    <x v="1"/>
    <x v="1"/>
    <x v="10"/>
    <x v="4"/>
    <n v="3"/>
    <n v="15"/>
    <n v="8"/>
    <n v="7"/>
  </r>
  <r>
    <s v="ORD-0348"/>
    <s v="Sapphira Baulcombe"/>
    <x v="4"/>
    <s v="Gentle Cleanser"/>
    <d v="2024-07-19T00:00:00"/>
    <d v="2024-07-20T00:00:00"/>
    <n v="5"/>
    <n v="3"/>
    <x v="0"/>
    <x v="3"/>
    <x v="2"/>
    <x v="0"/>
    <x v="1"/>
    <x v="6"/>
    <n v="1"/>
    <n v="15"/>
    <n v="7"/>
    <n v="8"/>
  </r>
  <r>
    <s v="ORD-0349"/>
    <s v="Sileas Pargetter"/>
    <x v="2"/>
    <s v="Retinol Serum"/>
    <d v="2024-07-09T00:00:00"/>
    <d v="2024-07-11T00:00:00"/>
    <n v="2"/>
    <n v="10"/>
    <x v="0"/>
    <x v="1"/>
    <x v="1"/>
    <x v="0"/>
    <x v="1"/>
    <x v="3"/>
    <n v="2"/>
    <n v="20"/>
    <n v="13"/>
    <n v="7"/>
  </r>
  <r>
    <s v="ORD-0350"/>
    <s v="Hercules Moggach"/>
    <x v="1"/>
    <s v="Sunscreen SPF 50"/>
    <d v="2023-09-14T00:00:00"/>
    <d v="2023-09-21T00:00:00"/>
    <n v="4"/>
    <n v="5"/>
    <x v="0"/>
    <x v="2"/>
    <x v="2"/>
    <x v="1"/>
    <x v="10"/>
    <x v="5"/>
    <n v="7"/>
    <n v="20"/>
    <n v="11"/>
    <n v="9"/>
  </r>
  <r>
    <s v="ORD-0351"/>
    <s v="Sergent Hollyman"/>
    <x v="2"/>
    <s v="Niacinamide Serum"/>
    <d v="2024-05-24T00:00:00"/>
    <d v="2024-05-27T00:00:00"/>
    <n v="2"/>
    <n v="8"/>
    <x v="1"/>
    <x v="5"/>
    <x v="0"/>
    <x v="0"/>
    <x v="9"/>
    <x v="6"/>
    <n v="3"/>
    <n v="16"/>
    <n v="9"/>
    <n v="7"/>
  </r>
  <r>
    <s v="ORD-0352"/>
    <s v="Shawn Nesbeth"/>
    <x v="0"/>
    <s v="Daily Moisturizer"/>
    <d v="2024-09-01T00:00:00"/>
    <d v="2024-09-02T00:00:00"/>
    <n v="3"/>
    <n v="5.5"/>
    <x v="0"/>
    <x v="0"/>
    <x v="1"/>
    <x v="0"/>
    <x v="10"/>
    <x v="1"/>
    <n v="1"/>
    <n v="16.5"/>
    <n v="9"/>
    <n v="7.5"/>
  </r>
  <r>
    <s v="ORD-0353"/>
    <s v="Kit Coggill"/>
    <x v="0"/>
    <s v="Gel Moisturizer"/>
    <d v="2023-11-19T00:00:00"/>
    <d v="2023-11-21T00:00:00"/>
    <n v="3"/>
    <n v="5.75"/>
    <x v="1"/>
    <x v="2"/>
    <x v="1"/>
    <x v="1"/>
    <x v="2"/>
    <x v="1"/>
    <n v="2"/>
    <n v="17.25"/>
    <n v="9"/>
    <n v="8.25"/>
  </r>
  <r>
    <s v="ORD-0354"/>
    <s v="Terencio Rayment"/>
    <x v="2"/>
    <s v="Hyaluronic Acid Serum"/>
    <d v="2024-10-01T00:00:00"/>
    <d v="2024-10-02T00:00:00"/>
    <n v="1"/>
    <n v="8.75"/>
    <x v="0"/>
    <x v="2"/>
    <x v="1"/>
    <x v="0"/>
    <x v="7"/>
    <x v="3"/>
    <n v="1"/>
    <n v="8.75"/>
    <n v="5"/>
    <n v="3.75"/>
  </r>
  <r>
    <s v="ORD-0355"/>
    <s v="Elset Maudlin"/>
    <x v="1"/>
    <s v="Sunscreen SPF 30"/>
    <d v="2024-01-10T00:00:00"/>
    <d v="2024-01-13T00:00:00"/>
    <n v="3"/>
    <n v="4.75"/>
    <x v="0"/>
    <x v="2"/>
    <x v="2"/>
    <x v="0"/>
    <x v="11"/>
    <x v="4"/>
    <n v="3"/>
    <n v="14.25"/>
    <n v="8"/>
    <n v="6.25"/>
  </r>
  <r>
    <s v="ORD-0356"/>
    <s v="Dorey Linham"/>
    <x v="1"/>
    <s v="Sunscreen SPF 30"/>
    <d v="2024-03-31T00:00:00"/>
    <d v="2024-04-12T00:00:00"/>
    <n v="1"/>
    <n v="4.75"/>
    <x v="0"/>
    <x v="5"/>
    <x v="1"/>
    <x v="0"/>
    <x v="0"/>
    <x v="1"/>
    <n v="12"/>
    <n v="4.75"/>
    <n v="3"/>
    <n v="1.75"/>
  </r>
  <r>
    <s v="ORD-0357"/>
    <s v="Queenie Jindacek"/>
    <x v="0"/>
    <s v="Gel Moisturizer"/>
    <d v="2023-12-23T00:00:00"/>
    <d v="2023-12-24T00:00:00"/>
    <n v="2"/>
    <n v="5.75"/>
    <x v="0"/>
    <x v="0"/>
    <x v="1"/>
    <x v="1"/>
    <x v="8"/>
    <x v="0"/>
    <n v="1"/>
    <n v="11.5"/>
    <n v="6"/>
    <n v="5.5"/>
  </r>
  <r>
    <s v="ORD-0358"/>
    <s v="Mersey Damato"/>
    <x v="3"/>
    <s v="Soothing Toner"/>
    <d v="2023-12-09T00:00:00"/>
    <d v="2023-12-11T00:00:00"/>
    <n v="4"/>
    <n v="4.75"/>
    <x v="0"/>
    <x v="2"/>
    <x v="2"/>
    <x v="1"/>
    <x v="8"/>
    <x v="0"/>
    <n v="2"/>
    <n v="19"/>
    <n v="10"/>
    <n v="9"/>
  </r>
  <r>
    <s v="ORD-0359"/>
    <s v="Thacher Lambie"/>
    <x v="1"/>
    <s v="Sunscreen SPF 50"/>
    <d v="2023-11-06T00:00:00"/>
    <d v="2023-11-16T00:00:00"/>
    <n v="5"/>
    <n v="5"/>
    <x v="0"/>
    <x v="3"/>
    <x v="0"/>
    <x v="1"/>
    <x v="2"/>
    <x v="2"/>
    <n v="10"/>
    <n v="25"/>
    <n v="14"/>
    <n v="11"/>
  </r>
  <r>
    <s v="ORD-0360"/>
    <s v="Gayla Plumtree"/>
    <x v="4"/>
    <s v="Gentle Cleanser"/>
    <d v="2024-09-12T00:00:00"/>
    <d v="2024-09-15T00:00:00"/>
    <n v="2"/>
    <n v="3"/>
    <x v="0"/>
    <x v="0"/>
    <x v="2"/>
    <x v="0"/>
    <x v="10"/>
    <x v="5"/>
    <n v="3"/>
    <n v="6"/>
    <n v="3"/>
    <n v="3"/>
  </r>
  <r>
    <s v="ORD-0361"/>
    <s v="Val Howchin"/>
    <x v="1"/>
    <s v="Sensitive Sunscreen"/>
    <d v="2024-10-13T00:00:00"/>
    <d v="2024-10-17T00:00:00"/>
    <n v="2"/>
    <n v="5.5"/>
    <x v="0"/>
    <x v="5"/>
    <x v="0"/>
    <x v="0"/>
    <x v="7"/>
    <x v="1"/>
    <n v="4"/>
    <n v="11"/>
    <n v="7"/>
    <n v="4"/>
  </r>
  <r>
    <s v="ORD-0362"/>
    <s v="Kasper Scourge"/>
    <x v="0"/>
    <s v="Repair Cream"/>
    <d v="2023-10-08T00:00:00"/>
    <d v="2023-10-12T00:00:00"/>
    <n v="2"/>
    <n v="6.25"/>
    <x v="0"/>
    <x v="4"/>
    <x v="2"/>
    <x v="1"/>
    <x v="7"/>
    <x v="1"/>
    <n v="4"/>
    <n v="12.5"/>
    <n v="7"/>
    <n v="5.5"/>
  </r>
  <r>
    <s v="ORD-0363"/>
    <s v="Dorthy Stanyforth"/>
    <x v="2"/>
    <s v="Vitamin C Serum"/>
    <d v="2023-12-08T00:00:00"/>
    <d v="2023-12-09T00:00:00"/>
    <n v="2"/>
    <n v="8.5"/>
    <x v="0"/>
    <x v="5"/>
    <x v="1"/>
    <x v="1"/>
    <x v="8"/>
    <x v="6"/>
    <n v="1"/>
    <n v="17"/>
    <n v="10"/>
    <n v="7"/>
  </r>
  <r>
    <s v="ORD-0364"/>
    <s v="Carlie McConaghy"/>
    <x v="3"/>
    <s v="Hydrating Toner"/>
    <d v="2024-03-21T00:00:00"/>
    <d v="2024-03-22T00:00:00"/>
    <n v="4"/>
    <n v="4.25"/>
    <x v="0"/>
    <x v="1"/>
    <x v="2"/>
    <x v="0"/>
    <x v="0"/>
    <x v="5"/>
    <n v="1"/>
    <n v="17"/>
    <n v="8"/>
    <n v="9"/>
  </r>
  <r>
    <s v="ORD-0365"/>
    <s v="Kelcey Spain-Gower"/>
    <x v="4"/>
    <s v="Gentle Cleanser"/>
    <d v="2023-10-10T00:00:00"/>
    <d v="2023-10-13T00:00:00"/>
    <n v="2"/>
    <n v="3"/>
    <x v="0"/>
    <x v="0"/>
    <x v="2"/>
    <x v="1"/>
    <x v="7"/>
    <x v="3"/>
    <n v="3"/>
    <n v="6"/>
    <n v="3"/>
    <n v="3"/>
  </r>
  <r>
    <s v="ORD-0366"/>
    <s v="Iorgos Cometto"/>
    <x v="4"/>
    <s v="Gentle Cleanser"/>
    <d v="2023-12-25T00:00:00"/>
    <d v="2023-12-26T00:00:00"/>
    <n v="2"/>
    <n v="3"/>
    <x v="0"/>
    <x v="0"/>
    <x v="2"/>
    <x v="1"/>
    <x v="8"/>
    <x v="2"/>
    <n v="1"/>
    <n v="6"/>
    <n v="3"/>
    <n v="3"/>
  </r>
  <r>
    <s v="ORD-0367"/>
    <s v="Rosemarie McFeate"/>
    <x v="1"/>
    <s v="Sunscreen SPF 50"/>
    <d v="2023-10-09T00:00:00"/>
    <d v="2023-10-12T00:00:00"/>
    <n v="1"/>
    <n v="5"/>
    <x v="0"/>
    <x v="0"/>
    <x v="1"/>
    <x v="1"/>
    <x v="7"/>
    <x v="2"/>
    <n v="3"/>
    <n v="5"/>
    <n v="3"/>
    <n v="2"/>
  </r>
  <r>
    <s v="ORD-0368"/>
    <s v="Quent Mariel"/>
    <x v="3"/>
    <s v="Acne Toner"/>
    <d v="2024-09-12T00:00:00"/>
    <d v="2024-09-13T00:00:00"/>
    <n v="5"/>
    <n v="4.5"/>
    <x v="1"/>
    <x v="0"/>
    <x v="0"/>
    <x v="0"/>
    <x v="10"/>
    <x v="5"/>
    <n v="1"/>
    <n v="22.5"/>
    <n v="11"/>
    <n v="11.5"/>
  </r>
  <r>
    <s v="ORD-0369"/>
    <s v="Janet Jacobs"/>
    <x v="2"/>
    <s v="Hyaluronic Acid Serum"/>
    <d v="2024-09-25T00:00:00"/>
    <d v="2024-10-03T00:00:00"/>
    <n v="2"/>
    <n v="8.75"/>
    <x v="0"/>
    <x v="1"/>
    <x v="1"/>
    <x v="0"/>
    <x v="10"/>
    <x v="4"/>
    <n v="8"/>
    <n v="17.5"/>
    <n v="10"/>
    <n v="7.5"/>
  </r>
  <r>
    <s v="ORD-0370"/>
    <s v="Clair Heading"/>
    <x v="0"/>
    <s v="Gel Moisturizer"/>
    <d v="2023-09-26T00:00:00"/>
    <d v="2023-10-08T00:00:00"/>
    <n v="1"/>
    <n v="5.75"/>
    <x v="1"/>
    <x v="0"/>
    <x v="2"/>
    <x v="1"/>
    <x v="10"/>
    <x v="3"/>
    <n v="12"/>
    <n v="5.75"/>
    <n v="3"/>
    <n v="2.75"/>
  </r>
  <r>
    <s v="ORD-0371"/>
    <s v="Crissy Yes"/>
    <x v="1"/>
    <s v="Sunscreen SPF 50"/>
    <d v="2024-08-13T00:00:00"/>
    <d v="2024-08-14T00:00:00"/>
    <n v="3"/>
    <n v="5"/>
    <x v="0"/>
    <x v="4"/>
    <x v="2"/>
    <x v="0"/>
    <x v="5"/>
    <x v="3"/>
    <n v="1"/>
    <n v="15"/>
    <n v="8"/>
    <n v="7"/>
  </r>
  <r>
    <s v="ORD-0372"/>
    <s v="Alvy Driver"/>
    <x v="2"/>
    <s v="Vitamin C Serum"/>
    <d v="2024-01-24T00:00:00"/>
    <d v="2024-01-27T00:00:00"/>
    <n v="2"/>
    <n v="8.5"/>
    <x v="0"/>
    <x v="1"/>
    <x v="2"/>
    <x v="0"/>
    <x v="11"/>
    <x v="4"/>
    <n v="3"/>
    <n v="17"/>
    <n v="10"/>
    <n v="7"/>
  </r>
  <r>
    <s v="ORD-0373"/>
    <s v="Adriena Banke"/>
    <x v="2"/>
    <s v="Retinol Serum"/>
    <d v="2023-07-23T00:00:00"/>
    <d v="2023-07-29T00:00:00"/>
    <n v="3"/>
    <n v="10"/>
    <x v="0"/>
    <x v="0"/>
    <x v="0"/>
    <x v="1"/>
    <x v="1"/>
    <x v="1"/>
    <n v="6"/>
    <n v="30"/>
    <n v="20"/>
    <n v="10"/>
  </r>
  <r>
    <s v="ORD-0374"/>
    <s v="Tyrone Blaszczyk"/>
    <x v="2"/>
    <s v="Retinol Serum"/>
    <d v="2024-02-22T00:00:00"/>
    <d v="2024-02-23T00:00:00"/>
    <n v="2"/>
    <n v="10"/>
    <x v="0"/>
    <x v="0"/>
    <x v="2"/>
    <x v="0"/>
    <x v="3"/>
    <x v="5"/>
    <n v="1"/>
    <n v="20"/>
    <n v="13"/>
    <n v="7"/>
  </r>
  <r>
    <s v="ORD-0375"/>
    <s v="Owen Pindred"/>
    <x v="4"/>
    <s v="Gentle Cleanser"/>
    <d v="2024-06-17T00:00:00"/>
    <d v="2024-06-27T00:00:00"/>
    <n v="5"/>
    <n v="3"/>
    <x v="1"/>
    <x v="0"/>
    <x v="2"/>
    <x v="0"/>
    <x v="4"/>
    <x v="2"/>
    <n v="10"/>
    <n v="15"/>
    <n v="7"/>
    <n v="8"/>
  </r>
  <r>
    <s v="ORD-0376"/>
    <s v="Aloise Lattka"/>
    <x v="0"/>
    <s v="Gel Moisturizer"/>
    <d v="2024-05-02T00:00:00"/>
    <d v="2024-05-08T00:00:00"/>
    <n v="1"/>
    <n v="5.75"/>
    <x v="0"/>
    <x v="0"/>
    <x v="2"/>
    <x v="0"/>
    <x v="9"/>
    <x v="5"/>
    <n v="6"/>
    <n v="5.75"/>
    <n v="3"/>
    <n v="2.75"/>
  </r>
  <r>
    <s v="ORD-0377"/>
    <s v="Ulrich Vedenyapin"/>
    <x v="0"/>
    <s v="Repair Cream"/>
    <d v="2023-08-23T00:00:00"/>
    <d v="2023-08-27T00:00:00"/>
    <n v="4"/>
    <n v="6.25"/>
    <x v="0"/>
    <x v="5"/>
    <x v="2"/>
    <x v="1"/>
    <x v="5"/>
    <x v="4"/>
    <n v="4"/>
    <n v="25"/>
    <n v="14"/>
    <n v="11"/>
  </r>
  <r>
    <s v="ORD-0378"/>
    <s v="Kaycee Cuss"/>
    <x v="0"/>
    <s v="Night Cream"/>
    <d v="2024-07-07T00:00:00"/>
    <d v="2024-07-09T00:00:00"/>
    <n v="4"/>
    <n v="6.5"/>
    <x v="0"/>
    <x v="2"/>
    <x v="2"/>
    <x v="0"/>
    <x v="1"/>
    <x v="1"/>
    <n v="2"/>
    <n v="26"/>
    <n v="15"/>
    <n v="11"/>
  </r>
  <r>
    <s v="ORD-0379"/>
    <s v="Delcina Abbes"/>
    <x v="2"/>
    <s v="Vitamin C Serum"/>
    <d v="2023-09-15T00:00:00"/>
    <d v="2023-09-16T00:00:00"/>
    <n v="4"/>
    <n v="8.5"/>
    <x v="0"/>
    <x v="3"/>
    <x v="2"/>
    <x v="1"/>
    <x v="10"/>
    <x v="6"/>
    <n v="1"/>
    <n v="34"/>
    <n v="20"/>
    <n v="14"/>
  </r>
  <r>
    <s v="ORD-0380"/>
    <s v="Debbi Yakolev"/>
    <x v="4"/>
    <s v="Hydrating Cleanser"/>
    <d v="2023-08-05T00:00:00"/>
    <d v="2023-08-07T00:00:00"/>
    <n v="2"/>
    <n v="4"/>
    <x v="0"/>
    <x v="0"/>
    <x v="2"/>
    <x v="1"/>
    <x v="5"/>
    <x v="0"/>
    <n v="2"/>
    <n v="8"/>
    <n v="4"/>
    <n v="4"/>
  </r>
  <r>
    <s v="ORD-0381"/>
    <s v="Desirae Cardenosa"/>
    <x v="2"/>
    <s v="Retinol Serum"/>
    <d v="2024-09-23T00:00:00"/>
    <d v="2024-09-26T00:00:00"/>
    <n v="3"/>
    <n v="10"/>
    <x v="0"/>
    <x v="0"/>
    <x v="2"/>
    <x v="0"/>
    <x v="10"/>
    <x v="2"/>
    <n v="3"/>
    <n v="30"/>
    <n v="20"/>
    <n v="10"/>
  </r>
  <r>
    <s v="ORD-0382"/>
    <s v="Marti Anten"/>
    <x v="4"/>
    <s v="Gentle Cleanser"/>
    <d v="2023-08-02T00:00:00"/>
    <d v="2023-08-12T00:00:00"/>
    <n v="4"/>
    <n v="3"/>
    <x v="1"/>
    <x v="5"/>
    <x v="1"/>
    <x v="1"/>
    <x v="5"/>
    <x v="4"/>
    <n v="10"/>
    <n v="12"/>
    <n v="6"/>
    <n v="6"/>
  </r>
  <r>
    <s v="ORD-0383"/>
    <s v="Farly Sprankling"/>
    <x v="3"/>
    <s v="Brightening Toner"/>
    <d v="2023-10-03T00:00:00"/>
    <d v="2023-10-04T00:00:00"/>
    <n v="5"/>
    <n v="4.5"/>
    <x v="0"/>
    <x v="3"/>
    <x v="0"/>
    <x v="1"/>
    <x v="7"/>
    <x v="3"/>
    <n v="1"/>
    <n v="22.5"/>
    <n v="12"/>
    <n v="10.5"/>
  </r>
  <r>
    <s v="ORD-0384"/>
    <s v="Emlynn Mort"/>
    <x v="3"/>
    <s v="Acne Toner"/>
    <d v="2023-08-26T00:00:00"/>
    <d v="2023-08-27T00:00:00"/>
    <n v="1"/>
    <n v="4.5"/>
    <x v="0"/>
    <x v="1"/>
    <x v="2"/>
    <x v="1"/>
    <x v="5"/>
    <x v="0"/>
    <n v="1"/>
    <n v="4.5"/>
    <n v="2"/>
    <n v="2.5"/>
  </r>
  <r>
    <s v="ORD-0385"/>
    <s v="Lorrayne Glenister"/>
    <x v="2"/>
    <s v="Retinol Serum"/>
    <d v="2024-05-28T00:00:00"/>
    <d v="2024-05-31T00:00:00"/>
    <n v="4"/>
    <n v="10"/>
    <x v="0"/>
    <x v="3"/>
    <x v="1"/>
    <x v="0"/>
    <x v="9"/>
    <x v="3"/>
    <n v="3"/>
    <n v="40"/>
    <n v="26"/>
    <n v="14"/>
  </r>
  <r>
    <s v="ORD-0386"/>
    <s v="Wit Ham"/>
    <x v="0"/>
    <s v="Daily Moisturizer"/>
    <d v="2024-07-11T00:00:00"/>
    <d v="2024-07-21T00:00:00"/>
    <n v="2"/>
    <n v="5.5"/>
    <x v="0"/>
    <x v="5"/>
    <x v="0"/>
    <x v="0"/>
    <x v="1"/>
    <x v="5"/>
    <n v="10"/>
    <n v="11"/>
    <n v="6"/>
    <n v="5"/>
  </r>
  <r>
    <s v="ORD-0387"/>
    <s v="Bobbie Huff"/>
    <x v="4"/>
    <s v="Brightening Cleanser"/>
    <d v="2023-08-26T00:00:00"/>
    <d v="2023-08-27T00:00:00"/>
    <n v="1"/>
    <n v="3.75"/>
    <x v="0"/>
    <x v="2"/>
    <x v="1"/>
    <x v="1"/>
    <x v="5"/>
    <x v="0"/>
    <n v="1"/>
    <n v="3.75"/>
    <n v="2"/>
    <n v="1.75"/>
  </r>
  <r>
    <s v="ORD-0388"/>
    <s v="Dita Felmingham"/>
    <x v="4"/>
    <s v="Gentle Cleanser"/>
    <d v="2024-08-19T00:00:00"/>
    <d v="2024-08-25T00:00:00"/>
    <n v="2"/>
    <n v="3"/>
    <x v="0"/>
    <x v="0"/>
    <x v="2"/>
    <x v="0"/>
    <x v="5"/>
    <x v="2"/>
    <n v="6"/>
    <n v="6"/>
    <n v="3"/>
    <n v="3"/>
  </r>
  <r>
    <s v="ORD-0389"/>
    <s v="Jennifer Balston"/>
    <x v="2"/>
    <s v="Vitamin C Serum"/>
    <d v="2024-05-07T00:00:00"/>
    <d v="2024-05-08T00:00:00"/>
    <n v="2"/>
    <n v="8.5"/>
    <x v="0"/>
    <x v="5"/>
    <x v="0"/>
    <x v="0"/>
    <x v="9"/>
    <x v="3"/>
    <n v="1"/>
    <n v="17"/>
    <n v="10"/>
    <n v="7"/>
  </r>
  <r>
    <s v="ORD-0390"/>
    <s v="Glad FitzGeorge"/>
    <x v="4"/>
    <s v="Brightening Cleanser"/>
    <d v="2023-07-22T00:00:00"/>
    <d v="2023-07-25T00:00:00"/>
    <n v="4"/>
    <n v="3.75"/>
    <x v="0"/>
    <x v="2"/>
    <x v="0"/>
    <x v="1"/>
    <x v="1"/>
    <x v="0"/>
    <n v="3"/>
    <n v="15"/>
    <n v="8"/>
    <n v="7"/>
  </r>
  <r>
    <s v="ORD-0391"/>
    <s v="Virgie Hovert"/>
    <x v="3"/>
    <s v="Hydrating Toner"/>
    <d v="2023-07-04T00:00:00"/>
    <d v="2023-07-08T00:00:00"/>
    <n v="4"/>
    <n v="4.25"/>
    <x v="1"/>
    <x v="2"/>
    <x v="0"/>
    <x v="1"/>
    <x v="1"/>
    <x v="3"/>
    <n v="4"/>
    <n v="17"/>
    <n v="8"/>
    <n v="9"/>
  </r>
  <r>
    <s v="ORD-0392"/>
    <s v="Eugenie Giral"/>
    <x v="2"/>
    <s v="Vitamin C Serum"/>
    <d v="2024-04-01T00:00:00"/>
    <d v="2024-04-04T00:00:00"/>
    <n v="3"/>
    <n v="8.5"/>
    <x v="0"/>
    <x v="3"/>
    <x v="0"/>
    <x v="0"/>
    <x v="6"/>
    <x v="2"/>
    <n v="3"/>
    <n v="25.5"/>
    <n v="15"/>
    <n v="10.5"/>
  </r>
  <r>
    <s v="ORD-0393"/>
    <s v="Deerdre Kelbie"/>
    <x v="2"/>
    <s v="Niacinamide Serum"/>
    <d v="2023-10-31T00:00:00"/>
    <d v="2023-11-02T00:00:00"/>
    <n v="5"/>
    <n v="8"/>
    <x v="0"/>
    <x v="0"/>
    <x v="1"/>
    <x v="1"/>
    <x v="7"/>
    <x v="3"/>
    <n v="2"/>
    <n v="40"/>
    <n v="23"/>
    <n v="17"/>
  </r>
  <r>
    <s v="ORD-0394"/>
    <s v="Andre Brouwer"/>
    <x v="1"/>
    <s v="Sunscreen SPF 30"/>
    <d v="2024-04-29T00:00:00"/>
    <d v="2024-05-01T00:00:00"/>
    <n v="3"/>
    <n v="4.75"/>
    <x v="0"/>
    <x v="1"/>
    <x v="1"/>
    <x v="0"/>
    <x v="6"/>
    <x v="2"/>
    <n v="2"/>
    <n v="14.25"/>
    <n v="8"/>
    <n v="6.25"/>
  </r>
  <r>
    <s v="ORD-0395"/>
    <s v="Jimmie McNelis"/>
    <x v="1"/>
    <s v="Sunscreen SPF 50"/>
    <d v="2024-09-20T00:00:00"/>
    <d v="2024-09-21T00:00:00"/>
    <n v="1"/>
    <n v="5"/>
    <x v="0"/>
    <x v="1"/>
    <x v="2"/>
    <x v="0"/>
    <x v="10"/>
    <x v="6"/>
    <n v="1"/>
    <n v="5"/>
    <n v="3"/>
    <n v="2"/>
  </r>
  <r>
    <s v="ORD-0396"/>
    <s v="Spense Boyfield"/>
    <x v="2"/>
    <s v="Vitamin C Serum"/>
    <d v="2024-09-04T00:00:00"/>
    <d v="2024-09-06T00:00:00"/>
    <n v="3"/>
    <n v="8.5"/>
    <x v="1"/>
    <x v="5"/>
    <x v="1"/>
    <x v="0"/>
    <x v="10"/>
    <x v="4"/>
    <n v="2"/>
    <n v="25.5"/>
    <n v="15"/>
    <n v="10.5"/>
  </r>
  <r>
    <s v="ORD-0397"/>
    <s v="Edgard Lorne"/>
    <x v="0"/>
    <s v="Night Cream"/>
    <d v="2023-09-16T00:00:00"/>
    <d v="2023-09-17T00:00:00"/>
    <n v="4"/>
    <n v="6.5"/>
    <x v="1"/>
    <x v="1"/>
    <x v="2"/>
    <x v="1"/>
    <x v="10"/>
    <x v="0"/>
    <n v="1"/>
    <n v="26"/>
    <n v="15"/>
    <n v="11"/>
  </r>
  <r>
    <s v="ORD-0398"/>
    <s v="Elna Klimkovich"/>
    <x v="1"/>
    <s v="Sunscreen SPF 50"/>
    <d v="2023-07-28T00:00:00"/>
    <d v="2023-07-30T00:00:00"/>
    <n v="1"/>
    <n v="5"/>
    <x v="0"/>
    <x v="2"/>
    <x v="2"/>
    <x v="1"/>
    <x v="1"/>
    <x v="6"/>
    <n v="2"/>
    <n v="5"/>
    <n v="3"/>
    <n v="2"/>
  </r>
  <r>
    <s v="ORD-0399"/>
    <s v="Abbie Adamovich"/>
    <x v="3"/>
    <s v="Acne Toner"/>
    <d v="2024-06-15T00:00:00"/>
    <d v="2024-06-18T00:00:00"/>
    <n v="1"/>
    <n v="4.5"/>
    <x v="0"/>
    <x v="2"/>
    <x v="2"/>
    <x v="0"/>
    <x v="4"/>
    <x v="0"/>
    <n v="3"/>
    <n v="4.5"/>
    <n v="2"/>
    <n v="2.5"/>
  </r>
  <r>
    <s v="ORD-0400"/>
    <s v="Daveta Wreakes"/>
    <x v="3"/>
    <s v="Brightening Toner"/>
    <d v="2024-10-29T00:00:00"/>
    <d v="2024-11-05T00:00:00"/>
    <n v="3"/>
    <n v="4.5"/>
    <x v="0"/>
    <x v="1"/>
    <x v="2"/>
    <x v="0"/>
    <x v="7"/>
    <x v="3"/>
    <n v="7"/>
    <n v="13.5"/>
    <n v="7"/>
    <n v="6.5"/>
  </r>
  <r>
    <s v="ORD-0401"/>
    <s v="Amber Whacket"/>
    <x v="3"/>
    <s v="Brightening Toner"/>
    <d v="2024-03-19T00:00:00"/>
    <d v="2024-03-28T00:00:00"/>
    <n v="4"/>
    <n v="4.5"/>
    <x v="0"/>
    <x v="0"/>
    <x v="0"/>
    <x v="0"/>
    <x v="0"/>
    <x v="3"/>
    <n v="9"/>
    <n v="18"/>
    <n v="9"/>
    <n v="9"/>
  </r>
  <r>
    <s v="ORD-0402"/>
    <s v="Alexei Karpushkin"/>
    <x v="2"/>
    <s v="Retinol Serum"/>
    <d v="2024-04-26T00:00:00"/>
    <d v="2024-05-01T00:00:00"/>
    <n v="2"/>
    <n v="10"/>
    <x v="1"/>
    <x v="4"/>
    <x v="2"/>
    <x v="0"/>
    <x v="6"/>
    <x v="6"/>
    <n v="5"/>
    <n v="20"/>
    <n v="13"/>
    <n v="7"/>
  </r>
  <r>
    <s v="ORD-0403"/>
    <s v="Cooper Leese"/>
    <x v="2"/>
    <s v="Niacinamide Serum"/>
    <d v="2024-05-27T00:00:00"/>
    <d v="2024-05-29T00:00:00"/>
    <n v="2"/>
    <n v="8"/>
    <x v="0"/>
    <x v="4"/>
    <x v="1"/>
    <x v="0"/>
    <x v="9"/>
    <x v="2"/>
    <n v="2"/>
    <n v="16"/>
    <n v="9"/>
    <n v="7"/>
  </r>
  <r>
    <s v="ORD-0404"/>
    <s v="Ilise Faich"/>
    <x v="3"/>
    <s v="Acne Toner"/>
    <d v="2024-08-07T00:00:00"/>
    <d v="2024-08-16T00:00:00"/>
    <n v="2"/>
    <n v="4.5"/>
    <x v="1"/>
    <x v="5"/>
    <x v="1"/>
    <x v="0"/>
    <x v="5"/>
    <x v="4"/>
    <n v="9"/>
    <n v="9"/>
    <n v="5"/>
    <n v="4"/>
  </r>
  <r>
    <s v="ORD-0405"/>
    <s v="Lexis Spurier"/>
    <x v="4"/>
    <s v="Brightening Cleanser"/>
    <d v="2024-02-22T00:00:00"/>
    <d v="2024-02-24T00:00:00"/>
    <n v="5"/>
    <n v="3.75"/>
    <x v="0"/>
    <x v="0"/>
    <x v="1"/>
    <x v="0"/>
    <x v="3"/>
    <x v="5"/>
    <n v="2"/>
    <n v="18.75"/>
    <n v="9"/>
    <n v="9.75"/>
  </r>
  <r>
    <s v="ORD-0406"/>
    <s v="Beaufort McIlveen"/>
    <x v="0"/>
    <s v="Daily Moisturizer"/>
    <d v="2024-09-18T00:00:00"/>
    <d v="2024-09-20T00:00:00"/>
    <n v="2"/>
    <n v="5.5"/>
    <x v="1"/>
    <x v="0"/>
    <x v="2"/>
    <x v="0"/>
    <x v="10"/>
    <x v="4"/>
    <n v="2"/>
    <n v="11"/>
    <n v="6"/>
    <n v="5"/>
  </r>
  <r>
    <s v="ORD-0407"/>
    <s v="Lenette Timeby"/>
    <x v="4"/>
    <s v="Acne Cleanser"/>
    <d v="2024-07-15T00:00:00"/>
    <d v="2024-07-16T00:00:00"/>
    <n v="1"/>
    <n v="3.5"/>
    <x v="0"/>
    <x v="2"/>
    <x v="2"/>
    <x v="0"/>
    <x v="1"/>
    <x v="2"/>
    <n v="1"/>
    <n v="3.5"/>
    <n v="2"/>
    <n v="1.5"/>
  </r>
  <r>
    <s v="ORD-0408"/>
    <s v="Norma Applewhite"/>
    <x v="0"/>
    <s v="Night Cream"/>
    <d v="2024-02-13T00:00:00"/>
    <d v="2024-02-14T00:00:00"/>
    <n v="3"/>
    <n v="6.5"/>
    <x v="1"/>
    <x v="0"/>
    <x v="2"/>
    <x v="0"/>
    <x v="3"/>
    <x v="3"/>
    <n v="1"/>
    <n v="19.5"/>
    <n v="11"/>
    <n v="8.5"/>
  </r>
  <r>
    <s v="ORD-0409"/>
    <s v="Sophronia Kyneton"/>
    <x v="2"/>
    <s v="Vitamin C Serum"/>
    <d v="2023-07-19T00:00:00"/>
    <d v="2023-07-20T00:00:00"/>
    <n v="4"/>
    <n v="8.5"/>
    <x v="0"/>
    <x v="0"/>
    <x v="1"/>
    <x v="1"/>
    <x v="1"/>
    <x v="4"/>
    <n v="1"/>
    <n v="34"/>
    <n v="20"/>
    <n v="14"/>
  </r>
  <r>
    <s v="ORD-0410"/>
    <s v="Lezlie Dust"/>
    <x v="2"/>
    <s v="Hyaluronic Acid Serum"/>
    <d v="2023-09-11T00:00:00"/>
    <d v="2023-09-14T00:00:00"/>
    <n v="5"/>
    <n v="8.75"/>
    <x v="0"/>
    <x v="1"/>
    <x v="0"/>
    <x v="1"/>
    <x v="10"/>
    <x v="2"/>
    <n v="3"/>
    <n v="43.75"/>
    <n v="25"/>
    <n v="18.75"/>
  </r>
  <r>
    <s v="ORD-0411"/>
    <s v="Leann Van Haeften"/>
    <x v="4"/>
    <s v="Brightening Cleanser"/>
    <d v="2024-02-12T00:00:00"/>
    <d v="2024-02-15T00:00:00"/>
    <n v="3"/>
    <n v="3.75"/>
    <x v="0"/>
    <x v="0"/>
    <x v="2"/>
    <x v="0"/>
    <x v="3"/>
    <x v="2"/>
    <n v="3"/>
    <n v="11.25"/>
    <n v="6"/>
    <n v="5.25"/>
  </r>
  <r>
    <s v="ORD-0412"/>
    <s v="Stanford Slark"/>
    <x v="1"/>
    <s v="Sensitive Sunscreen"/>
    <d v="2024-07-06T00:00:00"/>
    <d v="2024-07-09T00:00:00"/>
    <n v="5"/>
    <n v="5.5"/>
    <x v="0"/>
    <x v="1"/>
    <x v="2"/>
    <x v="0"/>
    <x v="1"/>
    <x v="0"/>
    <n v="3"/>
    <n v="27.5"/>
    <n v="17"/>
    <n v="10.5"/>
  </r>
  <r>
    <s v="ORD-0413"/>
    <s v="Anthea Brice"/>
    <x v="4"/>
    <s v="Acne Cleanser"/>
    <d v="2024-06-24T00:00:00"/>
    <d v="2024-06-27T00:00:00"/>
    <n v="4"/>
    <n v="3.5"/>
    <x v="0"/>
    <x v="3"/>
    <x v="1"/>
    <x v="0"/>
    <x v="4"/>
    <x v="2"/>
    <n v="3"/>
    <n v="14"/>
    <n v="7"/>
    <n v="7"/>
  </r>
  <r>
    <s v="ORD-0414"/>
    <s v="Arleyne Ranstead"/>
    <x v="4"/>
    <s v="Brightening Cleanser"/>
    <d v="2023-10-14T00:00:00"/>
    <d v="2023-10-22T00:00:00"/>
    <n v="2"/>
    <n v="3.75"/>
    <x v="1"/>
    <x v="1"/>
    <x v="2"/>
    <x v="1"/>
    <x v="7"/>
    <x v="0"/>
    <n v="8"/>
    <n v="7.5"/>
    <n v="4"/>
    <n v="3.5"/>
  </r>
  <r>
    <s v="ORD-0415"/>
    <s v="Karoline Drayn"/>
    <x v="2"/>
    <s v="Vitamin C Serum"/>
    <d v="2023-12-08T00:00:00"/>
    <d v="2023-12-14T00:00:00"/>
    <n v="5"/>
    <n v="8.5"/>
    <x v="1"/>
    <x v="2"/>
    <x v="2"/>
    <x v="1"/>
    <x v="8"/>
    <x v="6"/>
    <n v="6"/>
    <n v="42.5"/>
    <n v="26"/>
    <n v="16.5"/>
  </r>
  <r>
    <s v="ORD-0416"/>
    <s v="Burch Gaffer"/>
    <x v="2"/>
    <s v="Vitamin C Serum"/>
    <d v="2024-07-03T00:00:00"/>
    <d v="2024-07-07T00:00:00"/>
    <n v="2"/>
    <n v="8.5"/>
    <x v="0"/>
    <x v="0"/>
    <x v="0"/>
    <x v="0"/>
    <x v="1"/>
    <x v="4"/>
    <n v="4"/>
    <n v="17"/>
    <n v="10"/>
    <n v="7"/>
  </r>
  <r>
    <s v="ORD-0417"/>
    <s v="Bertrando Wilber"/>
    <x v="4"/>
    <s v="Acne Cleanser"/>
    <d v="2024-07-14T00:00:00"/>
    <d v="2024-07-16T00:00:00"/>
    <n v="2"/>
    <n v="3.5"/>
    <x v="1"/>
    <x v="0"/>
    <x v="2"/>
    <x v="0"/>
    <x v="1"/>
    <x v="1"/>
    <n v="2"/>
    <n v="7"/>
    <n v="3"/>
    <n v="4"/>
  </r>
  <r>
    <s v="ORD-0418"/>
    <s v="Nolie Halms"/>
    <x v="3"/>
    <s v="Acne Toner"/>
    <d v="2023-08-10T00:00:00"/>
    <d v="2023-08-17T00:00:00"/>
    <n v="4"/>
    <n v="4.5"/>
    <x v="0"/>
    <x v="0"/>
    <x v="2"/>
    <x v="1"/>
    <x v="5"/>
    <x v="5"/>
    <n v="7"/>
    <n v="18"/>
    <n v="9"/>
    <n v="9"/>
  </r>
  <r>
    <s v="ORD-0419"/>
    <s v="Dannie Lowry"/>
    <x v="1"/>
    <s v="Sensitive Sunscreen"/>
    <d v="2023-10-08T00:00:00"/>
    <d v="2023-10-11T00:00:00"/>
    <n v="4"/>
    <n v="5.5"/>
    <x v="0"/>
    <x v="2"/>
    <x v="2"/>
    <x v="1"/>
    <x v="7"/>
    <x v="1"/>
    <n v="3"/>
    <n v="22"/>
    <n v="13"/>
    <n v="9"/>
  </r>
  <r>
    <s v="ORD-0420"/>
    <s v="Alastair Doyley"/>
    <x v="3"/>
    <s v="Brightening Toner"/>
    <d v="2024-01-17T00:00:00"/>
    <d v="2024-01-24T00:00:00"/>
    <n v="4"/>
    <n v="4.5"/>
    <x v="0"/>
    <x v="0"/>
    <x v="2"/>
    <x v="0"/>
    <x v="11"/>
    <x v="4"/>
    <n v="7"/>
    <n v="18"/>
    <n v="9"/>
    <n v="9"/>
  </r>
  <r>
    <s v="ORD-0421"/>
    <s v="Dall Shevlane"/>
    <x v="3"/>
    <s v="Hydrating Toner"/>
    <d v="2024-09-10T00:00:00"/>
    <d v="2024-09-13T00:00:00"/>
    <n v="4"/>
    <n v="4.25"/>
    <x v="0"/>
    <x v="0"/>
    <x v="2"/>
    <x v="0"/>
    <x v="10"/>
    <x v="3"/>
    <n v="3"/>
    <n v="17"/>
    <n v="8"/>
    <n v="9"/>
  </r>
  <r>
    <s v="ORD-0422"/>
    <s v="Judy Kelshaw"/>
    <x v="4"/>
    <s v="Acne Cleanser"/>
    <d v="2023-11-10T00:00:00"/>
    <d v="2023-11-14T00:00:00"/>
    <n v="2"/>
    <n v="3.5"/>
    <x v="0"/>
    <x v="2"/>
    <x v="1"/>
    <x v="1"/>
    <x v="2"/>
    <x v="6"/>
    <n v="4"/>
    <n v="7"/>
    <n v="3"/>
    <n v="4"/>
  </r>
  <r>
    <s v="ORD-0423"/>
    <s v="Marchelle Pringley"/>
    <x v="1"/>
    <s v="Sunscreen SPF 50"/>
    <d v="2024-06-15T00:00:00"/>
    <d v="2024-06-17T00:00:00"/>
    <n v="3"/>
    <n v="5"/>
    <x v="0"/>
    <x v="1"/>
    <x v="2"/>
    <x v="0"/>
    <x v="4"/>
    <x v="0"/>
    <n v="2"/>
    <n v="15"/>
    <n v="8"/>
    <n v="7"/>
  </r>
  <r>
    <s v="ORD-0424"/>
    <s v="Helaine Pillifant"/>
    <x v="3"/>
    <s v="Soothing Toner"/>
    <d v="2024-04-06T00:00:00"/>
    <d v="2024-04-09T00:00:00"/>
    <n v="4"/>
    <n v="4.75"/>
    <x v="0"/>
    <x v="3"/>
    <x v="1"/>
    <x v="0"/>
    <x v="6"/>
    <x v="0"/>
    <n v="3"/>
    <n v="19"/>
    <n v="10"/>
    <n v="9"/>
  </r>
  <r>
    <s v="ORD-0425"/>
    <s v="Mel McSharry"/>
    <x v="1"/>
    <s v="Sunscreen SPF 30"/>
    <d v="2023-12-16T00:00:00"/>
    <d v="2023-12-27T00:00:00"/>
    <n v="5"/>
    <n v="4.75"/>
    <x v="0"/>
    <x v="2"/>
    <x v="0"/>
    <x v="1"/>
    <x v="8"/>
    <x v="0"/>
    <n v="11"/>
    <n v="23.75"/>
    <n v="13"/>
    <n v="10.75"/>
  </r>
  <r>
    <s v="ORD-0426"/>
    <s v="Angelika Bilby"/>
    <x v="2"/>
    <s v="Retinol Serum"/>
    <d v="2023-10-08T00:00:00"/>
    <d v="2023-10-09T00:00:00"/>
    <n v="2"/>
    <n v="10"/>
    <x v="0"/>
    <x v="0"/>
    <x v="1"/>
    <x v="1"/>
    <x v="7"/>
    <x v="1"/>
    <n v="1"/>
    <n v="20"/>
    <n v="13"/>
    <n v="7"/>
  </r>
  <r>
    <s v="ORD-0427"/>
    <s v="Land Hancox"/>
    <x v="4"/>
    <s v="Acne Cleanser"/>
    <d v="2024-10-16T00:00:00"/>
    <d v="2024-10-18T00:00:00"/>
    <n v="5"/>
    <n v="3.5"/>
    <x v="0"/>
    <x v="3"/>
    <x v="0"/>
    <x v="0"/>
    <x v="7"/>
    <x v="4"/>
    <n v="2"/>
    <n v="17.5"/>
    <n v="8"/>
    <n v="9.5"/>
  </r>
  <r>
    <s v="ORD-0428"/>
    <s v="Nickey Bonehill"/>
    <x v="4"/>
    <s v="Gentle Cleanser"/>
    <d v="2023-07-19T00:00:00"/>
    <d v="2023-07-27T00:00:00"/>
    <n v="1"/>
    <n v="3"/>
    <x v="0"/>
    <x v="2"/>
    <x v="2"/>
    <x v="1"/>
    <x v="1"/>
    <x v="4"/>
    <n v="8"/>
    <n v="3"/>
    <n v="1"/>
    <n v="2"/>
  </r>
  <r>
    <s v="ORD-0429"/>
    <s v="Susette Scaife"/>
    <x v="3"/>
    <s v="Acne Toner"/>
    <d v="2024-02-21T00:00:00"/>
    <d v="2024-02-23T00:00:00"/>
    <n v="2"/>
    <n v="4.5"/>
    <x v="0"/>
    <x v="1"/>
    <x v="2"/>
    <x v="0"/>
    <x v="3"/>
    <x v="4"/>
    <n v="2"/>
    <n v="9"/>
    <n v="5"/>
    <n v="4"/>
  </r>
  <r>
    <s v="ORD-0430"/>
    <s v="Homere Busby"/>
    <x v="4"/>
    <s v="Brightening Cleanser"/>
    <d v="2024-02-01T00:00:00"/>
    <d v="2024-02-03T00:00:00"/>
    <n v="5"/>
    <n v="3.75"/>
    <x v="0"/>
    <x v="3"/>
    <x v="0"/>
    <x v="0"/>
    <x v="3"/>
    <x v="5"/>
    <n v="2"/>
    <n v="18.75"/>
    <n v="9"/>
    <n v="9.75"/>
  </r>
  <r>
    <s v="ORD-0431"/>
    <s v="Ciro Sweeney"/>
    <x v="3"/>
    <s v="Brightening Toner"/>
    <d v="2023-11-06T00:00:00"/>
    <d v="2023-11-07T00:00:00"/>
    <n v="2"/>
    <n v="4.5"/>
    <x v="1"/>
    <x v="3"/>
    <x v="1"/>
    <x v="1"/>
    <x v="2"/>
    <x v="2"/>
    <n v="1"/>
    <n v="9"/>
    <n v="5"/>
    <n v="4"/>
  </r>
  <r>
    <s v="ORD-0432"/>
    <s v="Jacklin Hoys"/>
    <x v="3"/>
    <s v="Hydrating Toner"/>
    <d v="2023-12-28T00:00:00"/>
    <d v="2023-12-29T00:00:00"/>
    <n v="5"/>
    <n v="4.25"/>
    <x v="0"/>
    <x v="0"/>
    <x v="2"/>
    <x v="1"/>
    <x v="8"/>
    <x v="5"/>
    <n v="1"/>
    <n v="21.25"/>
    <n v="10"/>
    <n v="11.25"/>
  </r>
  <r>
    <s v="ORD-0433"/>
    <s v="Vernon Maberley"/>
    <x v="1"/>
    <s v="Sensitive Sunscreen"/>
    <d v="2024-01-20T00:00:00"/>
    <d v="2024-01-30T00:00:00"/>
    <n v="3"/>
    <n v="5.5"/>
    <x v="0"/>
    <x v="0"/>
    <x v="1"/>
    <x v="0"/>
    <x v="11"/>
    <x v="0"/>
    <n v="10"/>
    <n v="16.5"/>
    <n v="10"/>
    <n v="6.5"/>
  </r>
  <r>
    <s v="ORD-0434"/>
    <s v="Appolonia Proom"/>
    <x v="2"/>
    <s v="Vitamin C Serum"/>
    <d v="2024-06-19T00:00:00"/>
    <d v="2024-06-23T00:00:00"/>
    <n v="4"/>
    <n v="8.5"/>
    <x v="0"/>
    <x v="0"/>
    <x v="2"/>
    <x v="0"/>
    <x v="4"/>
    <x v="4"/>
    <n v="4"/>
    <n v="34"/>
    <n v="20"/>
    <n v="14"/>
  </r>
  <r>
    <s v="ORD-0435"/>
    <s v="Way Fawdery"/>
    <x v="4"/>
    <s v="Gentle Cleanser"/>
    <d v="2023-12-07T00:00:00"/>
    <d v="2023-12-12T00:00:00"/>
    <n v="2"/>
    <n v="3"/>
    <x v="0"/>
    <x v="0"/>
    <x v="2"/>
    <x v="1"/>
    <x v="8"/>
    <x v="5"/>
    <n v="5"/>
    <n v="6"/>
    <n v="3"/>
    <n v="3"/>
  </r>
  <r>
    <s v="ORD-0436"/>
    <s v="Regan Larkin"/>
    <x v="2"/>
    <s v="Vitamin C Serum"/>
    <d v="2023-07-09T00:00:00"/>
    <d v="2023-07-14T00:00:00"/>
    <n v="5"/>
    <n v="8.5"/>
    <x v="0"/>
    <x v="3"/>
    <x v="0"/>
    <x v="1"/>
    <x v="1"/>
    <x v="1"/>
    <n v="5"/>
    <n v="42.5"/>
    <n v="26"/>
    <n v="16.5"/>
  </r>
  <r>
    <s v="ORD-0437"/>
    <s v="Guy Guidi"/>
    <x v="3"/>
    <s v="Acne Toner"/>
    <d v="2023-11-16T00:00:00"/>
    <d v="2023-11-17T00:00:00"/>
    <n v="4"/>
    <n v="4.5"/>
    <x v="0"/>
    <x v="2"/>
    <x v="1"/>
    <x v="1"/>
    <x v="2"/>
    <x v="5"/>
    <n v="1"/>
    <n v="18"/>
    <n v="9"/>
    <n v="9"/>
  </r>
  <r>
    <s v="ORD-0438"/>
    <s v="Lilias Hazeldine"/>
    <x v="2"/>
    <s v="Retinol Serum"/>
    <d v="2024-06-24T00:00:00"/>
    <d v="2024-06-28T00:00:00"/>
    <n v="1"/>
    <n v="10"/>
    <x v="0"/>
    <x v="1"/>
    <x v="0"/>
    <x v="0"/>
    <x v="4"/>
    <x v="2"/>
    <n v="4"/>
    <n v="10"/>
    <n v="7"/>
    <n v="3"/>
  </r>
  <r>
    <s v="ORD-0439"/>
    <s v="Jeramie Kolczynski"/>
    <x v="2"/>
    <s v="Niacinamide Serum"/>
    <d v="2024-06-26T00:00:00"/>
    <d v="2024-07-05T00:00:00"/>
    <n v="4"/>
    <n v="8"/>
    <x v="0"/>
    <x v="2"/>
    <x v="2"/>
    <x v="0"/>
    <x v="4"/>
    <x v="4"/>
    <n v="9"/>
    <n v="32"/>
    <n v="19"/>
    <n v="13"/>
  </r>
  <r>
    <s v="ORD-0440"/>
    <s v="Hannah Leeves"/>
    <x v="4"/>
    <s v="Acne Cleanser"/>
    <d v="2024-02-27T00:00:00"/>
    <d v="2024-02-29T00:00:00"/>
    <n v="3"/>
    <n v="3.5"/>
    <x v="0"/>
    <x v="0"/>
    <x v="2"/>
    <x v="0"/>
    <x v="3"/>
    <x v="3"/>
    <n v="2"/>
    <n v="10.5"/>
    <n v="5"/>
    <n v="5.5"/>
  </r>
  <r>
    <s v="ORD-0441"/>
    <s v="Mathilda Lygoe"/>
    <x v="1"/>
    <s v="Sensitive Sunscreen"/>
    <d v="2024-05-07T00:00:00"/>
    <d v="2024-05-21T00:00:00"/>
    <n v="1"/>
    <n v="5.5"/>
    <x v="0"/>
    <x v="3"/>
    <x v="1"/>
    <x v="0"/>
    <x v="9"/>
    <x v="3"/>
    <n v="14"/>
    <n v="5.5"/>
    <n v="3"/>
    <n v="2.5"/>
  </r>
  <r>
    <s v="ORD-0442"/>
    <s v="Zebulen Triner"/>
    <x v="2"/>
    <s v="Niacinamide Serum"/>
    <d v="2023-11-23T00:00:00"/>
    <d v="2023-11-25T00:00:00"/>
    <n v="3"/>
    <n v="8"/>
    <x v="0"/>
    <x v="2"/>
    <x v="1"/>
    <x v="1"/>
    <x v="2"/>
    <x v="5"/>
    <n v="2"/>
    <n v="24"/>
    <n v="14"/>
    <n v="10"/>
  </r>
  <r>
    <s v="ORD-0443"/>
    <s v="Becca Hartill"/>
    <x v="2"/>
    <s v="Vitamin C Serum"/>
    <d v="2024-03-29T00:00:00"/>
    <d v="2024-03-30T00:00:00"/>
    <n v="3"/>
    <n v="8.5"/>
    <x v="0"/>
    <x v="5"/>
    <x v="2"/>
    <x v="0"/>
    <x v="0"/>
    <x v="6"/>
    <n v="1"/>
    <n v="25.5"/>
    <n v="15"/>
    <n v="10.5"/>
  </r>
  <r>
    <s v="ORD-0444"/>
    <s v="Dallas Benjafield"/>
    <x v="4"/>
    <s v="Gentle Cleanser"/>
    <d v="2024-02-24T00:00:00"/>
    <d v="2024-02-29T00:00:00"/>
    <n v="5"/>
    <n v="3"/>
    <x v="0"/>
    <x v="0"/>
    <x v="2"/>
    <x v="0"/>
    <x v="3"/>
    <x v="0"/>
    <n v="5"/>
    <n v="15"/>
    <n v="7"/>
    <n v="8"/>
  </r>
  <r>
    <s v="ORD-0445"/>
    <s v="Ariel Combe"/>
    <x v="2"/>
    <s v="Vitamin C Serum"/>
    <d v="2023-12-30T00:00:00"/>
    <d v="2024-01-05T00:00:00"/>
    <n v="1"/>
    <n v="8.5"/>
    <x v="0"/>
    <x v="2"/>
    <x v="2"/>
    <x v="1"/>
    <x v="8"/>
    <x v="0"/>
    <n v="6"/>
    <n v="8.5"/>
    <n v="5"/>
    <n v="3.5"/>
  </r>
  <r>
    <s v="ORD-0446"/>
    <s v="Christos Corrett"/>
    <x v="1"/>
    <s v="Sunscreen SPF 30"/>
    <d v="2024-01-01T00:00:00"/>
    <d v="2024-01-03T00:00:00"/>
    <n v="1"/>
    <n v="4.75"/>
    <x v="0"/>
    <x v="2"/>
    <x v="2"/>
    <x v="0"/>
    <x v="11"/>
    <x v="2"/>
    <n v="2"/>
    <n v="4.75"/>
    <n v="3"/>
    <n v="1.75"/>
  </r>
  <r>
    <s v="ORD-0447"/>
    <s v="Alysa McNutt"/>
    <x v="1"/>
    <s v="Sunscreen SPF 30"/>
    <d v="2024-08-22T00:00:00"/>
    <d v="2024-08-24T00:00:00"/>
    <n v="5"/>
    <n v="4.75"/>
    <x v="0"/>
    <x v="2"/>
    <x v="2"/>
    <x v="0"/>
    <x v="5"/>
    <x v="5"/>
    <n v="2"/>
    <n v="23.75"/>
    <n v="13"/>
    <n v="10.75"/>
  </r>
  <r>
    <s v="ORD-0448"/>
    <s v="Sander Hedan"/>
    <x v="4"/>
    <s v="Brightening Cleanser"/>
    <d v="2024-02-20T00:00:00"/>
    <d v="2024-02-21T00:00:00"/>
    <n v="1"/>
    <n v="3.75"/>
    <x v="0"/>
    <x v="0"/>
    <x v="2"/>
    <x v="0"/>
    <x v="3"/>
    <x v="3"/>
    <n v="1"/>
    <n v="3.75"/>
    <n v="2"/>
    <n v="1.75"/>
  </r>
  <r>
    <s v="ORD-0449"/>
    <s v="Herve Gibby"/>
    <x v="4"/>
    <s v="Hydrating Cleanser"/>
    <d v="2024-10-15T00:00:00"/>
    <d v="2024-10-17T00:00:00"/>
    <n v="3"/>
    <n v="4"/>
    <x v="0"/>
    <x v="0"/>
    <x v="1"/>
    <x v="0"/>
    <x v="7"/>
    <x v="3"/>
    <n v="2"/>
    <n v="12"/>
    <n v="6"/>
    <n v="6"/>
  </r>
  <r>
    <s v="ORD-0450"/>
    <s v="Olvan Idenden"/>
    <x v="4"/>
    <s v="Hydrating Cleanser"/>
    <d v="2023-08-07T00:00:00"/>
    <d v="2023-08-09T00:00:00"/>
    <n v="3"/>
    <n v="4"/>
    <x v="0"/>
    <x v="1"/>
    <x v="2"/>
    <x v="1"/>
    <x v="5"/>
    <x v="2"/>
    <n v="2"/>
    <n v="12"/>
    <n v="6"/>
    <n v="6"/>
  </r>
  <r>
    <s v="ORD-0451"/>
    <s v="Cyrus Cranch"/>
    <x v="4"/>
    <s v="Brightening Cleanser"/>
    <d v="2024-07-23T00:00:00"/>
    <d v="2024-07-26T00:00:00"/>
    <n v="2"/>
    <n v="3.75"/>
    <x v="0"/>
    <x v="1"/>
    <x v="2"/>
    <x v="0"/>
    <x v="1"/>
    <x v="3"/>
    <n v="3"/>
    <n v="7.5"/>
    <n v="4"/>
    <n v="3.5"/>
  </r>
  <r>
    <s v="ORD-0452"/>
    <s v="Waylan Squibb"/>
    <x v="3"/>
    <s v="Acne Toner"/>
    <d v="2024-06-30T00:00:00"/>
    <d v="2024-07-02T00:00:00"/>
    <n v="1"/>
    <n v="4.5"/>
    <x v="0"/>
    <x v="0"/>
    <x v="1"/>
    <x v="0"/>
    <x v="4"/>
    <x v="1"/>
    <n v="2"/>
    <n v="4.5"/>
    <n v="2"/>
    <n v="2.5"/>
  </r>
  <r>
    <s v="ORD-0453"/>
    <s v="Analiese McKimmie"/>
    <x v="4"/>
    <s v="Brightening Cleanser"/>
    <d v="2023-07-31T00:00:00"/>
    <d v="2023-08-07T00:00:00"/>
    <n v="2"/>
    <n v="3.75"/>
    <x v="0"/>
    <x v="4"/>
    <x v="1"/>
    <x v="1"/>
    <x v="1"/>
    <x v="2"/>
    <n v="7"/>
    <n v="7.5"/>
    <n v="4"/>
    <n v="3.5"/>
  </r>
  <r>
    <s v="ORD-0454"/>
    <s v="Jelene Lloyd-Williams"/>
    <x v="0"/>
    <s v="Gel Moisturizer"/>
    <d v="2024-07-15T00:00:00"/>
    <d v="2024-07-20T00:00:00"/>
    <n v="1"/>
    <n v="5.75"/>
    <x v="0"/>
    <x v="0"/>
    <x v="0"/>
    <x v="0"/>
    <x v="1"/>
    <x v="2"/>
    <n v="5"/>
    <n v="5.75"/>
    <n v="3"/>
    <n v="2.75"/>
  </r>
  <r>
    <s v="ORD-0455"/>
    <s v="Shanta Dearl"/>
    <x v="0"/>
    <s v="Night Cream"/>
    <d v="2024-06-09T00:00:00"/>
    <d v="2024-06-10T00:00:00"/>
    <n v="2"/>
    <n v="6.5"/>
    <x v="0"/>
    <x v="4"/>
    <x v="2"/>
    <x v="0"/>
    <x v="4"/>
    <x v="1"/>
    <n v="1"/>
    <n v="13"/>
    <n v="8"/>
    <n v="5"/>
  </r>
  <r>
    <s v="ORD-0456"/>
    <s v="Linnell Trevascus"/>
    <x v="1"/>
    <s v="Sunscreen SPF 30"/>
    <d v="2024-07-29T00:00:00"/>
    <d v="2024-08-05T00:00:00"/>
    <n v="3"/>
    <n v="4.75"/>
    <x v="0"/>
    <x v="0"/>
    <x v="2"/>
    <x v="0"/>
    <x v="1"/>
    <x v="2"/>
    <n v="7"/>
    <n v="14.25"/>
    <n v="8"/>
    <n v="6.25"/>
  </r>
  <r>
    <s v="ORD-0457"/>
    <s v="Aggi Shepheard"/>
    <x v="1"/>
    <s v="Matte Sunscreen"/>
    <d v="2023-11-07T00:00:00"/>
    <d v="2023-11-14T00:00:00"/>
    <n v="5"/>
    <n v="5.25"/>
    <x v="0"/>
    <x v="2"/>
    <x v="1"/>
    <x v="1"/>
    <x v="2"/>
    <x v="3"/>
    <n v="7"/>
    <n v="26.25"/>
    <n v="15"/>
    <n v="11.25"/>
  </r>
  <r>
    <s v="ORD-0458"/>
    <s v="Cicely Allridge"/>
    <x v="3"/>
    <s v="Soothing Toner"/>
    <d v="2024-06-10T00:00:00"/>
    <d v="2024-06-19T00:00:00"/>
    <n v="4"/>
    <n v="4.75"/>
    <x v="0"/>
    <x v="1"/>
    <x v="1"/>
    <x v="0"/>
    <x v="4"/>
    <x v="2"/>
    <n v="9"/>
    <n v="19"/>
    <n v="10"/>
    <n v="9"/>
  </r>
  <r>
    <s v="ORD-0459"/>
    <s v="Kimmie Smyley"/>
    <x v="3"/>
    <s v="Acne Toner"/>
    <d v="2023-12-31T00:00:00"/>
    <d v="2024-01-05T00:00:00"/>
    <n v="1"/>
    <n v="4.5"/>
    <x v="0"/>
    <x v="5"/>
    <x v="2"/>
    <x v="1"/>
    <x v="8"/>
    <x v="1"/>
    <n v="5"/>
    <n v="4.5"/>
    <n v="2"/>
    <n v="2.5"/>
  </r>
  <r>
    <s v="ORD-0460"/>
    <s v="Grayce Fairey"/>
    <x v="2"/>
    <s v="Vitamin C Serum"/>
    <d v="2023-10-15T00:00:00"/>
    <d v="2023-10-16T00:00:00"/>
    <n v="4"/>
    <n v="8.5"/>
    <x v="0"/>
    <x v="0"/>
    <x v="2"/>
    <x v="1"/>
    <x v="7"/>
    <x v="1"/>
    <n v="1"/>
    <n v="34"/>
    <n v="20"/>
    <n v="14"/>
  </r>
  <r>
    <s v="ORD-0461"/>
    <s v="Tedman Marages"/>
    <x v="1"/>
    <s v="Matte Sunscreen"/>
    <d v="2023-12-03T00:00:00"/>
    <d v="2023-12-07T00:00:00"/>
    <n v="4"/>
    <n v="5.25"/>
    <x v="1"/>
    <x v="0"/>
    <x v="1"/>
    <x v="1"/>
    <x v="8"/>
    <x v="1"/>
    <n v="4"/>
    <n v="21"/>
    <n v="12"/>
    <n v="9"/>
  </r>
  <r>
    <s v="ORD-0462"/>
    <s v="Marja Morena"/>
    <x v="1"/>
    <s v="Matte Sunscreen"/>
    <d v="2024-08-12T00:00:00"/>
    <d v="2024-08-15T00:00:00"/>
    <n v="4"/>
    <n v="5.25"/>
    <x v="0"/>
    <x v="1"/>
    <x v="0"/>
    <x v="0"/>
    <x v="5"/>
    <x v="2"/>
    <n v="3"/>
    <n v="21"/>
    <n v="12"/>
    <n v="9"/>
  </r>
  <r>
    <s v="ORD-0463"/>
    <s v="Catharina Pingstone"/>
    <x v="3"/>
    <s v="Brightening Toner"/>
    <d v="2023-10-03T00:00:00"/>
    <d v="2023-10-06T00:00:00"/>
    <n v="2"/>
    <n v="4.5"/>
    <x v="0"/>
    <x v="0"/>
    <x v="0"/>
    <x v="1"/>
    <x v="7"/>
    <x v="3"/>
    <n v="3"/>
    <n v="9"/>
    <n v="5"/>
    <n v="4"/>
  </r>
  <r>
    <s v="ORD-0464"/>
    <s v="Rea Chitham"/>
    <x v="2"/>
    <s v="Retinol Serum"/>
    <d v="2024-04-05T00:00:00"/>
    <d v="2024-04-06T00:00:00"/>
    <n v="5"/>
    <n v="10"/>
    <x v="0"/>
    <x v="1"/>
    <x v="2"/>
    <x v="0"/>
    <x v="6"/>
    <x v="6"/>
    <n v="1"/>
    <n v="50"/>
    <n v="33"/>
    <n v="17"/>
  </r>
  <r>
    <s v="ORD-0465"/>
    <s v="Sophia Waterstone"/>
    <x v="0"/>
    <s v="Gel Moisturizer"/>
    <d v="2023-08-05T00:00:00"/>
    <d v="2023-08-13T00:00:00"/>
    <n v="1"/>
    <n v="5.75"/>
    <x v="0"/>
    <x v="0"/>
    <x v="1"/>
    <x v="1"/>
    <x v="5"/>
    <x v="0"/>
    <n v="8"/>
    <n v="5.75"/>
    <n v="3"/>
    <n v="2.75"/>
  </r>
  <r>
    <s v="ORD-0466"/>
    <s v="Glynnis Apdell"/>
    <x v="4"/>
    <s v="Acne Cleanser"/>
    <d v="2024-03-18T00:00:00"/>
    <d v="2024-03-23T00:00:00"/>
    <n v="1"/>
    <n v="3.5"/>
    <x v="0"/>
    <x v="5"/>
    <x v="2"/>
    <x v="0"/>
    <x v="0"/>
    <x v="2"/>
    <n v="5"/>
    <n v="3.5"/>
    <n v="2"/>
    <n v="1.5"/>
  </r>
  <r>
    <s v="ORD-0467"/>
    <s v="Selma Linton"/>
    <x v="2"/>
    <s v="Niacinamide Serum"/>
    <d v="2024-06-24T00:00:00"/>
    <d v="2024-06-27T00:00:00"/>
    <n v="2"/>
    <n v="8"/>
    <x v="0"/>
    <x v="0"/>
    <x v="0"/>
    <x v="0"/>
    <x v="4"/>
    <x v="2"/>
    <n v="3"/>
    <n v="16"/>
    <n v="9"/>
    <n v="7"/>
  </r>
  <r>
    <s v="ORD-0468"/>
    <s v="Rochell Flower"/>
    <x v="2"/>
    <s v="Niacinamide Serum"/>
    <d v="2023-08-02T00:00:00"/>
    <d v="2023-08-05T00:00:00"/>
    <n v="2"/>
    <n v="8"/>
    <x v="0"/>
    <x v="0"/>
    <x v="2"/>
    <x v="1"/>
    <x v="5"/>
    <x v="4"/>
    <n v="3"/>
    <n v="16"/>
    <n v="9"/>
    <n v="7"/>
  </r>
  <r>
    <s v="ORD-0469"/>
    <s v="Averill Brotherheed"/>
    <x v="4"/>
    <s v="Gentle Cleanser"/>
    <d v="2024-03-18T00:00:00"/>
    <d v="2024-03-20T00:00:00"/>
    <n v="3"/>
    <n v="3"/>
    <x v="0"/>
    <x v="3"/>
    <x v="0"/>
    <x v="0"/>
    <x v="0"/>
    <x v="2"/>
    <n v="2"/>
    <n v="9"/>
    <n v="4"/>
    <n v="5"/>
  </r>
  <r>
    <s v="ORD-0470"/>
    <s v="Meade Trusler"/>
    <x v="0"/>
    <s v="Daily Moisturizer"/>
    <d v="2023-08-24T00:00:00"/>
    <d v="2023-08-27T00:00:00"/>
    <n v="5"/>
    <n v="5.5"/>
    <x v="0"/>
    <x v="0"/>
    <x v="1"/>
    <x v="1"/>
    <x v="5"/>
    <x v="5"/>
    <n v="3"/>
    <n v="27.5"/>
    <n v="14"/>
    <n v="13.5"/>
  </r>
  <r>
    <s v="ORD-0471"/>
    <s v="Bobbie Grass"/>
    <x v="4"/>
    <s v="Hydrating Cleanser"/>
    <d v="2024-07-13T00:00:00"/>
    <d v="2024-07-15T00:00:00"/>
    <n v="2"/>
    <n v="4"/>
    <x v="0"/>
    <x v="0"/>
    <x v="2"/>
    <x v="0"/>
    <x v="1"/>
    <x v="0"/>
    <n v="2"/>
    <n v="8"/>
    <n v="4"/>
    <n v="4"/>
  </r>
  <r>
    <s v="ORD-0472"/>
    <s v="Marlo Ferrarotti"/>
    <x v="3"/>
    <s v="Hydrating Toner"/>
    <d v="2024-07-10T00:00:00"/>
    <d v="2024-07-12T00:00:00"/>
    <n v="1"/>
    <n v="4.25"/>
    <x v="0"/>
    <x v="2"/>
    <x v="0"/>
    <x v="0"/>
    <x v="1"/>
    <x v="4"/>
    <n v="2"/>
    <n v="4.25"/>
    <n v="2"/>
    <n v="2.25"/>
  </r>
  <r>
    <s v="ORD-0473"/>
    <s v="Abbot Blencoe"/>
    <x v="0"/>
    <s v="Daily Moisturizer"/>
    <d v="2024-06-18T00:00:00"/>
    <d v="2024-06-30T00:00:00"/>
    <n v="2"/>
    <n v="5.5"/>
    <x v="0"/>
    <x v="5"/>
    <x v="1"/>
    <x v="0"/>
    <x v="4"/>
    <x v="3"/>
    <n v="12"/>
    <n v="11"/>
    <n v="6"/>
    <n v="5"/>
  </r>
  <r>
    <s v="ORD-0474"/>
    <s v="Daren Gribben"/>
    <x v="1"/>
    <s v="Sensitive Sunscreen"/>
    <d v="2023-12-18T00:00:00"/>
    <d v="2023-12-20T00:00:00"/>
    <n v="3"/>
    <n v="5.5"/>
    <x v="0"/>
    <x v="5"/>
    <x v="2"/>
    <x v="1"/>
    <x v="8"/>
    <x v="2"/>
    <n v="2"/>
    <n v="16.5"/>
    <n v="10"/>
    <n v="6.5"/>
  </r>
  <r>
    <s v="ORD-0475"/>
    <s v="Meryl Rivenzon"/>
    <x v="4"/>
    <s v="Acne Cleanser"/>
    <d v="2024-03-31T00:00:00"/>
    <d v="2024-04-02T00:00:00"/>
    <n v="5"/>
    <n v="3.5"/>
    <x v="1"/>
    <x v="3"/>
    <x v="1"/>
    <x v="0"/>
    <x v="0"/>
    <x v="1"/>
    <n v="2"/>
    <n v="17.5"/>
    <n v="8"/>
    <n v="9.5"/>
  </r>
  <r>
    <s v="ORD-0476"/>
    <s v="Olav Kefford"/>
    <x v="4"/>
    <s v="Hydrating Cleanser"/>
    <d v="2024-01-05T00:00:00"/>
    <d v="2024-01-08T00:00:00"/>
    <n v="3"/>
    <n v="4"/>
    <x v="0"/>
    <x v="1"/>
    <x v="1"/>
    <x v="0"/>
    <x v="11"/>
    <x v="6"/>
    <n v="3"/>
    <n v="12"/>
    <n v="6"/>
    <n v="6"/>
  </r>
  <r>
    <s v="ORD-0477"/>
    <s v="Ricard Heigho"/>
    <x v="4"/>
    <s v="Gentle Cleanser"/>
    <d v="2024-06-13T00:00:00"/>
    <d v="2024-06-18T00:00:00"/>
    <n v="2"/>
    <n v="3"/>
    <x v="0"/>
    <x v="0"/>
    <x v="1"/>
    <x v="0"/>
    <x v="4"/>
    <x v="5"/>
    <n v="5"/>
    <n v="6"/>
    <n v="3"/>
    <n v="3"/>
  </r>
  <r>
    <s v="ORD-0478"/>
    <s v="Rollo Yokley"/>
    <x v="3"/>
    <s v="Hydrating Toner"/>
    <d v="2024-06-25T00:00:00"/>
    <d v="2024-06-30T00:00:00"/>
    <n v="4"/>
    <n v="4.25"/>
    <x v="0"/>
    <x v="2"/>
    <x v="2"/>
    <x v="0"/>
    <x v="4"/>
    <x v="3"/>
    <n v="5"/>
    <n v="17"/>
    <n v="8"/>
    <n v="9"/>
  </r>
  <r>
    <s v="ORD-0479"/>
    <s v="Agata Bernardes"/>
    <x v="4"/>
    <s v="Hydrating Cleanser"/>
    <d v="2024-06-15T00:00:00"/>
    <d v="2024-06-16T00:00:00"/>
    <n v="2"/>
    <n v="4"/>
    <x v="0"/>
    <x v="5"/>
    <x v="0"/>
    <x v="0"/>
    <x v="4"/>
    <x v="0"/>
    <n v="1"/>
    <n v="8"/>
    <n v="4"/>
    <n v="4"/>
  </r>
  <r>
    <s v="ORD-0480"/>
    <s v="Lewie Fardy"/>
    <x v="3"/>
    <s v="Hydrating Toner"/>
    <d v="2023-11-07T00:00:00"/>
    <d v="2023-11-08T00:00:00"/>
    <n v="1"/>
    <n v="4.25"/>
    <x v="0"/>
    <x v="0"/>
    <x v="0"/>
    <x v="1"/>
    <x v="2"/>
    <x v="3"/>
    <n v="1"/>
    <n v="4.25"/>
    <n v="2"/>
    <n v="2.25"/>
  </r>
  <r>
    <s v="ORD-0481"/>
    <s v="Niki Hatherleigh"/>
    <x v="2"/>
    <s v="Hyaluronic Acid Serum"/>
    <d v="2024-10-27T00:00:00"/>
    <d v="2024-10-30T00:00:00"/>
    <n v="1"/>
    <n v="8.75"/>
    <x v="0"/>
    <x v="0"/>
    <x v="1"/>
    <x v="0"/>
    <x v="7"/>
    <x v="1"/>
    <n v="3"/>
    <n v="8.75"/>
    <n v="5"/>
    <n v="3.75"/>
  </r>
  <r>
    <s v="ORD-0482"/>
    <s v="Mercie Morecombe"/>
    <x v="0"/>
    <s v="Daily Moisturizer"/>
    <d v="2024-08-14T00:00:00"/>
    <d v="2024-08-16T00:00:00"/>
    <n v="5"/>
    <n v="5.5"/>
    <x v="0"/>
    <x v="2"/>
    <x v="1"/>
    <x v="0"/>
    <x v="5"/>
    <x v="4"/>
    <n v="2"/>
    <n v="27.5"/>
    <n v="14"/>
    <n v="13.5"/>
  </r>
  <r>
    <s v="ORD-0483"/>
    <s v="Kirby Preddy"/>
    <x v="0"/>
    <s v="Daily Moisturizer"/>
    <d v="2024-09-17T00:00:00"/>
    <d v="2024-09-22T00:00:00"/>
    <n v="1"/>
    <n v="5.5"/>
    <x v="0"/>
    <x v="0"/>
    <x v="0"/>
    <x v="0"/>
    <x v="10"/>
    <x v="3"/>
    <n v="5"/>
    <n v="5.5"/>
    <n v="3"/>
    <n v="2.5"/>
  </r>
  <r>
    <s v="ORD-0484"/>
    <s v="Prudi Walshaw"/>
    <x v="2"/>
    <s v="Niacinamide Serum"/>
    <d v="2024-05-03T00:00:00"/>
    <d v="2024-05-06T00:00:00"/>
    <n v="1"/>
    <n v="8"/>
    <x v="0"/>
    <x v="1"/>
    <x v="2"/>
    <x v="0"/>
    <x v="9"/>
    <x v="6"/>
    <n v="3"/>
    <n v="8"/>
    <n v="5"/>
    <n v="3"/>
  </r>
  <r>
    <s v="ORD-0485"/>
    <s v="Don Izakovitz"/>
    <x v="0"/>
    <s v="Repair Cream"/>
    <d v="2024-05-20T00:00:00"/>
    <d v="2024-05-22T00:00:00"/>
    <n v="5"/>
    <n v="6.25"/>
    <x v="1"/>
    <x v="3"/>
    <x v="1"/>
    <x v="0"/>
    <x v="9"/>
    <x v="2"/>
    <n v="2"/>
    <n v="31.25"/>
    <n v="17"/>
    <n v="14.25"/>
  </r>
  <r>
    <s v="ORD-0486"/>
    <s v="Bibby Shropshire"/>
    <x v="4"/>
    <s v="Brightening Cleanser"/>
    <d v="2024-08-07T00:00:00"/>
    <d v="2024-08-10T00:00:00"/>
    <n v="5"/>
    <n v="3.75"/>
    <x v="0"/>
    <x v="1"/>
    <x v="0"/>
    <x v="0"/>
    <x v="5"/>
    <x v="4"/>
    <n v="3"/>
    <n v="18.75"/>
    <n v="9"/>
    <n v="9.75"/>
  </r>
  <r>
    <s v="ORD-0487"/>
    <s v="Stacey Whitlock"/>
    <x v="4"/>
    <s v="Acne Cleanser"/>
    <d v="2024-06-01T00:00:00"/>
    <d v="2024-06-02T00:00:00"/>
    <n v="5"/>
    <n v="3.5"/>
    <x v="0"/>
    <x v="3"/>
    <x v="2"/>
    <x v="0"/>
    <x v="4"/>
    <x v="0"/>
    <n v="1"/>
    <n v="17.5"/>
    <n v="8"/>
    <n v="9.5"/>
  </r>
  <r>
    <s v="ORD-0488"/>
    <s v="Roxane Orrock"/>
    <x v="1"/>
    <s v="Sunscreen SPF 30"/>
    <d v="2024-01-17T00:00:00"/>
    <d v="2024-01-20T00:00:00"/>
    <n v="4"/>
    <n v="4.75"/>
    <x v="0"/>
    <x v="1"/>
    <x v="1"/>
    <x v="0"/>
    <x v="11"/>
    <x v="4"/>
    <n v="3"/>
    <n v="19"/>
    <n v="10"/>
    <n v="9"/>
  </r>
  <r>
    <s v="ORD-0489"/>
    <s v="Yorke Dudley"/>
    <x v="1"/>
    <s v="Sensitive Sunscreen"/>
    <d v="2023-11-28T00:00:00"/>
    <d v="2023-11-30T00:00:00"/>
    <n v="1"/>
    <n v="5.5"/>
    <x v="1"/>
    <x v="1"/>
    <x v="1"/>
    <x v="1"/>
    <x v="2"/>
    <x v="3"/>
    <n v="2"/>
    <n v="5.5"/>
    <n v="3"/>
    <n v="2.5"/>
  </r>
  <r>
    <s v="ORD-0490"/>
    <s v="Ximenes Iddens"/>
    <x v="2"/>
    <s v="Vitamin C Serum"/>
    <d v="2024-05-19T00:00:00"/>
    <d v="2024-05-22T00:00:00"/>
    <n v="1"/>
    <n v="8.5"/>
    <x v="0"/>
    <x v="0"/>
    <x v="1"/>
    <x v="0"/>
    <x v="9"/>
    <x v="1"/>
    <n v="3"/>
    <n v="8.5"/>
    <n v="5"/>
    <n v="3.5"/>
  </r>
  <r>
    <s v="ORD-0491"/>
    <s v="Perrine Godsafe"/>
    <x v="1"/>
    <s v="Matte Sunscreen"/>
    <d v="2023-08-11T00:00:00"/>
    <d v="2023-08-14T00:00:00"/>
    <n v="1"/>
    <n v="5.25"/>
    <x v="0"/>
    <x v="1"/>
    <x v="0"/>
    <x v="1"/>
    <x v="5"/>
    <x v="6"/>
    <n v="3"/>
    <n v="5.25"/>
    <n v="3"/>
    <n v="2.25"/>
  </r>
  <r>
    <s v="ORD-0492"/>
    <s v="Miles Hunnicot"/>
    <x v="0"/>
    <s v="Gel Moisturizer"/>
    <d v="2024-02-23T00:00:00"/>
    <d v="2024-02-27T00:00:00"/>
    <n v="2"/>
    <n v="5.75"/>
    <x v="0"/>
    <x v="0"/>
    <x v="2"/>
    <x v="0"/>
    <x v="3"/>
    <x v="6"/>
    <n v="4"/>
    <n v="11.5"/>
    <n v="6"/>
    <n v="5.5"/>
  </r>
  <r>
    <s v="ORD-0493"/>
    <s v="Lucita Liddiard"/>
    <x v="3"/>
    <s v="Brightening Toner"/>
    <d v="2024-06-11T00:00:00"/>
    <d v="2024-06-12T00:00:00"/>
    <n v="4"/>
    <n v="4.5"/>
    <x v="0"/>
    <x v="1"/>
    <x v="2"/>
    <x v="0"/>
    <x v="4"/>
    <x v="3"/>
    <n v="1"/>
    <n v="18"/>
    <n v="9"/>
    <n v="9"/>
  </r>
  <r>
    <s v="ORD-0494"/>
    <s v="Tammara Geelan"/>
    <x v="4"/>
    <s v="Gentle Cleanser"/>
    <d v="2023-07-15T00:00:00"/>
    <d v="2023-07-18T00:00:00"/>
    <n v="2"/>
    <n v="3"/>
    <x v="0"/>
    <x v="2"/>
    <x v="2"/>
    <x v="1"/>
    <x v="1"/>
    <x v="0"/>
    <n v="3"/>
    <n v="6"/>
    <n v="3"/>
    <n v="3"/>
  </r>
  <r>
    <s v="ORD-0495"/>
    <s v="Daryn Simchenko"/>
    <x v="3"/>
    <s v="Soothing Toner"/>
    <d v="2024-03-19T00:00:00"/>
    <d v="2024-03-20T00:00:00"/>
    <n v="5"/>
    <n v="4.75"/>
    <x v="0"/>
    <x v="5"/>
    <x v="2"/>
    <x v="0"/>
    <x v="0"/>
    <x v="3"/>
    <n v="1"/>
    <n v="23.75"/>
    <n v="13"/>
    <n v="10.75"/>
  </r>
  <r>
    <s v="ORD-0496"/>
    <s v="Lilith Sowerbutts"/>
    <x v="4"/>
    <s v="Acne Cleanser"/>
    <d v="2024-02-20T00:00:00"/>
    <d v="2024-02-21T00:00:00"/>
    <n v="2"/>
    <n v="3.5"/>
    <x v="0"/>
    <x v="1"/>
    <x v="0"/>
    <x v="0"/>
    <x v="3"/>
    <x v="3"/>
    <n v="1"/>
    <n v="7"/>
    <n v="3"/>
    <n v="4"/>
  </r>
  <r>
    <s v="ORD-0497"/>
    <s v="Merola Pipes"/>
    <x v="4"/>
    <s v="Gentle Cleanser"/>
    <d v="2023-11-02T00:00:00"/>
    <d v="2023-11-04T00:00:00"/>
    <n v="2"/>
    <n v="3"/>
    <x v="0"/>
    <x v="4"/>
    <x v="1"/>
    <x v="1"/>
    <x v="2"/>
    <x v="5"/>
    <n v="2"/>
    <n v="6"/>
    <n v="3"/>
    <n v="3"/>
  </r>
  <r>
    <s v="ORD-0498"/>
    <s v="Willis Ollander"/>
    <x v="0"/>
    <s v="Gel Moisturizer"/>
    <d v="2024-08-23T00:00:00"/>
    <d v="2024-08-27T00:00:00"/>
    <n v="5"/>
    <n v="5.75"/>
    <x v="0"/>
    <x v="2"/>
    <x v="1"/>
    <x v="0"/>
    <x v="5"/>
    <x v="6"/>
    <n v="4"/>
    <n v="28.75"/>
    <n v="14"/>
    <n v="14.75"/>
  </r>
  <r>
    <s v="ORD-0499"/>
    <s v="Kikelia Ianitti"/>
    <x v="0"/>
    <s v="Gel Moisturizer"/>
    <d v="2024-06-11T00:00:00"/>
    <d v="2024-06-12T00:00:00"/>
    <n v="2"/>
    <n v="5.75"/>
    <x v="0"/>
    <x v="0"/>
    <x v="2"/>
    <x v="0"/>
    <x v="4"/>
    <x v="3"/>
    <n v="1"/>
    <n v="11.5"/>
    <n v="6"/>
    <n v="5.5"/>
  </r>
  <r>
    <s v="ORD-0500"/>
    <s v="Michal Raund"/>
    <x v="4"/>
    <s v="Acne Cleanser"/>
    <d v="2023-09-25T00:00:00"/>
    <d v="2023-10-09T00:00:00"/>
    <n v="4"/>
    <n v="3.5"/>
    <x v="0"/>
    <x v="2"/>
    <x v="1"/>
    <x v="1"/>
    <x v="10"/>
    <x v="2"/>
    <n v="14"/>
    <n v="14"/>
    <n v="7"/>
    <n v="7"/>
  </r>
  <r>
    <s v="ORD-0501"/>
    <s v="Clementina MacDonell"/>
    <x v="4"/>
    <s v="Brightening Cleanser"/>
    <d v="2023-08-04T00:00:00"/>
    <d v="2023-08-05T00:00:00"/>
    <n v="3"/>
    <n v="3.75"/>
    <x v="0"/>
    <x v="5"/>
    <x v="2"/>
    <x v="1"/>
    <x v="5"/>
    <x v="6"/>
    <n v="1"/>
    <n v="11.25"/>
    <n v="6"/>
    <n v="5.25"/>
  </r>
  <r>
    <s v="ORD-0502"/>
    <s v="Dalia Chetter"/>
    <x v="4"/>
    <s v="Gentle Cleanser"/>
    <d v="2024-03-31T00:00:00"/>
    <d v="2024-04-01T00:00:00"/>
    <n v="4"/>
    <n v="3"/>
    <x v="1"/>
    <x v="1"/>
    <x v="1"/>
    <x v="0"/>
    <x v="0"/>
    <x v="1"/>
    <n v="1"/>
    <n v="12"/>
    <n v="6"/>
    <n v="6"/>
  </r>
  <r>
    <s v="ORD-0503"/>
    <s v="Layla Ellett"/>
    <x v="1"/>
    <s v="Sunscreen SPF 50"/>
    <d v="2024-08-05T00:00:00"/>
    <d v="2024-08-11T00:00:00"/>
    <n v="3"/>
    <n v="5"/>
    <x v="0"/>
    <x v="4"/>
    <x v="0"/>
    <x v="0"/>
    <x v="5"/>
    <x v="2"/>
    <n v="6"/>
    <n v="15"/>
    <n v="8"/>
    <n v="7"/>
  </r>
  <r>
    <s v="ORD-0504"/>
    <s v="Ludovico Dilley"/>
    <x v="1"/>
    <s v="Matte Sunscreen"/>
    <d v="2024-07-22T00:00:00"/>
    <d v="2024-07-23T00:00:00"/>
    <n v="3"/>
    <n v="5.25"/>
    <x v="0"/>
    <x v="5"/>
    <x v="2"/>
    <x v="0"/>
    <x v="1"/>
    <x v="2"/>
    <n v="1"/>
    <n v="15.75"/>
    <n v="9"/>
    <n v="6.75"/>
  </r>
  <r>
    <s v="ORD-0505"/>
    <s v="Ellette Souness"/>
    <x v="0"/>
    <s v="Night Cream"/>
    <d v="2024-06-21T00:00:00"/>
    <d v="2024-06-24T00:00:00"/>
    <n v="5"/>
    <n v="6.5"/>
    <x v="0"/>
    <x v="0"/>
    <x v="0"/>
    <x v="0"/>
    <x v="4"/>
    <x v="6"/>
    <n v="3"/>
    <n v="32.5"/>
    <n v="19"/>
    <n v="13.5"/>
  </r>
  <r>
    <s v="ORD-0506"/>
    <s v="Llewellyn Rudall"/>
    <x v="2"/>
    <s v="Niacinamide Serum"/>
    <d v="2023-11-05T00:00:00"/>
    <d v="2023-11-12T00:00:00"/>
    <n v="4"/>
    <n v="8"/>
    <x v="0"/>
    <x v="0"/>
    <x v="0"/>
    <x v="1"/>
    <x v="2"/>
    <x v="1"/>
    <n v="7"/>
    <n v="32"/>
    <n v="19"/>
    <n v="13"/>
  </r>
  <r>
    <s v="ORD-0507"/>
    <s v="Ashton Kiffe"/>
    <x v="4"/>
    <s v="Brightening Cleanser"/>
    <d v="2024-01-04T00:00:00"/>
    <d v="2024-01-05T00:00:00"/>
    <n v="3"/>
    <n v="3.75"/>
    <x v="0"/>
    <x v="5"/>
    <x v="0"/>
    <x v="0"/>
    <x v="11"/>
    <x v="5"/>
    <n v="1"/>
    <n v="11.25"/>
    <n v="6"/>
    <n v="5.25"/>
  </r>
  <r>
    <s v="ORD-0508"/>
    <s v="Brit Mineghelli"/>
    <x v="1"/>
    <s v="Sunscreen SPF 30"/>
    <d v="2024-10-09T00:00:00"/>
    <d v="2024-10-11T00:00:00"/>
    <n v="2"/>
    <n v="4.75"/>
    <x v="0"/>
    <x v="0"/>
    <x v="2"/>
    <x v="0"/>
    <x v="7"/>
    <x v="4"/>
    <n v="2"/>
    <n v="9.5"/>
    <n v="5"/>
    <n v="4.5"/>
  </r>
  <r>
    <s v="ORD-0509"/>
    <s v="Therese Barrand"/>
    <x v="4"/>
    <s v="Gentle Cleanser"/>
    <d v="2023-11-16T00:00:00"/>
    <d v="2023-11-21T00:00:00"/>
    <n v="4"/>
    <n v="3"/>
    <x v="0"/>
    <x v="3"/>
    <x v="2"/>
    <x v="1"/>
    <x v="2"/>
    <x v="5"/>
    <n v="5"/>
    <n v="12"/>
    <n v="6"/>
    <n v="6"/>
  </r>
  <r>
    <s v="ORD-0510"/>
    <s v="Read Ghelardi"/>
    <x v="3"/>
    <s v="Soothing Toner"/>
    <d v="2024-07-01T00:00:00"/>
    <d v="2024-07-03T00:00:00"/>
    <n v="2"/>
    <n v="4.75"/>
    <x v="0"/>
    <x v="3"/>
    <x v="1"/>
    <x v="0"/>
    <x v="1"/>
    <x v="2"/>
    <n v="2"/>
    <n v="9.5"/>
    <n v="5"/>
    <n v="4.5"/>
  </r>
  <r>
    <s v="ORD-0511"/>
    <s v="Betty Pickvance"/>
    <x v="4"/>
    <s v="Gentle Cleanser"/>
    <d v="2023-10-26T00:00:00"/>
    <d v="2023-10-28T00:00:00"/>
    <n v="5"/>
    <n v="3"/>
    <x v="1"/>
    <x v="2"/>
    <x v="1"/>
    <x v="1"/>
    <x v="7"/>
    <x v="5"/>
    <n v="2"/>
    <n v="15"/>
    <n v="7"/>
    <n v="8"/>
  </r>
  <r>
    <s v="ORD-0512"/>
    <s v="Brittan Apdell"/>
    <x v="2"/>
    <s v="Niacinamide Serum"/>
    <d v="2023-09-27T00:00:00"/>
    <d v="2023-10-02T00:00:00"/>
    <n v="4"/>
    <n v="8"/>
    <x v="0"/>
    <x v="0"/>
    <x v="2"/>
    <x v="1"/>
    <x v="10"/>
    <x v="4"/>
    <n v="5"/>
    <n v="32"/>
    <n v="19"/>
    <n v="13"/>
  </r>
  <r>
    <s v="ORD-0513"/>
    <s v="Nike Grishinov"/>
    <x v="0"/>
    <s v="Daily Moisturizer"/>
    <d v="2024-03-25T00:00:00"/>
    <d v="2024-03-29T00:00:00"/>
    <n v="2"/>
    <n v="5.5"/>
    <x v="0"/>
    <x v="2"/>
    <x v="2"/>
    <x v="0"/>
    <x v="0"/>
    <x v="2"/>
    <n v="4"/>
    <n v="11"/>
    <n v="6"/>
    <n v="5"/>
  </r>
  <r>
    <s v="ORD-0514"/>
    <s v="Onida Silbermann"/>
    <x v="3"/>
    <s v="Acne Toner"/>
    <d v="2024-08-21T00:00:00"/>
    <d v="2024-08-25T00:00:00"/>
    <n v="2"/>
    <n v="4.5"/>
    <x v="0"/>
    <x v="3"/>
    <x v="0"/>
    <x v="0"/>
    <x v="5"/>
    <x v="4"/>
    <n v="4"/>
    <n v="9"/>
    <n v="5"/>
    <n v="4"/>
  </r>
  <r>
    <s v="ORD-0515"/>
    <s v="Averell Jinkin"/>
    <x v="1"/>
    <s v="Matte Sunscreen"/>
    <d v="2024-03-25T00:00:00"/>
    <d v="2024-03-29T00:00:00"/>
    <n v="5"/>
    <n v="5.25"/>
    <x v="0"/>
    <x v="0"/>
    <x v="2"/>
    <x v="0"/>
    <x v="0"/>
    <x v="2"/>
    <n v="4"/>
    <n v="26.25"/>
    <n v="15"/>
    <n v="11.25"/>
  </r>
  <r>
    <s v="ORD-0516"/>
    <s v="Barrie Exley"/>
    <x v="0"/>
    <s v="Gel Moisturizer"/>
    <d v="2024-02-10T00:00:00"/>
    <d v="2024-02-13T00:00:00"/>
    <n v="1"/>
    <n v="5.75"/>
    <x v="1"/>
    <x v="2"/>
    <x v="0"/>
    <x v="0"/>
    <x v="3"/>
    <x v="0"/>
    <n v="3"/>
    <n v="5.75"/>
    <n v="3"/>
    <n v="2.75"/>
  </r>
  <r>
    <s v="ORD-0517"/>
    <s v="Christiana Fulford"/>
    <x v="0"/>
    <s v="Repair Cream"/>
    <d v="2024-10-18T00:00:00"/>
    <d v="2024-10-19T00:00:00"/>
    <n v="3"/>
    <n v="6.25"/>
    <x v="1"/>
    <x v="0"/>
    <x v="1"/>
    <x v="0"/>
    <x v="7"/>
    <x v="6"/>
    <n v="1"/>
    <n v="18.75"/>
    <n v="10"/>
    <n v="8.75"/>
  </r>
  <r>
    <s v="ORD-0518"/>
    <s v="Dionisio Hamal"/>
    <x v="4"/>
    <s v="Hydrating Cleanser"/>
    <d v="2024-08-08T00:00:00"/>
    <d v="2024-08-10T00:00:00"/>
    <n v="1"/>
    <n v="4"/>
    <x v="0"/>
    <x v="1"/>
    <x v="0"/>
    <x v="0"/>
    <x v="5"/>
    <x v="5"/>
    <n v="2"/>
    <n v="4"/>
    <n v="2"/>
    <n v="2"/>
  </r>
  <r>
    <s v="ORD-0519"/>
    <s v="Pascal Prodrick"/>
    <x v="0"/>
    <s v="Repair Cream"/>
    <d v="2023-08-12T00:00:00"/>
    <d v="2023-08-14T00:00:00"/>
    <n v="1"/>
    <n v="6.25"/>
    <x v="0"/>
    <x v="0"/>
    <x v="1"/>
    <x v="1"/>
    <x v="5"/>
    <x v="0"/>
    <n v="2"/>
    <n v="6.25"/>
    <n v="3"/>
    <n v="3.25"/>
  </r>
  <r>
    <s v="ORD-0520"/>
    <s v="Ivor O'Brallaghan"/>
    <x v="2"/>
    <s v="Retinol Serum"/>
    <d v="2024-09-22T00:00:00"/>
    <d v="2024-09-29T00:00:00"/>
    <n v="3"/>
    <n v="10"/>
    <x v="1"/>
    <x v="0"/>
    <x v="2"/>
    <x v="0"/>
    <x v="10"/>
    <x v="1"/>
    <n v="7"/>
    <n v="30"/>
    <n v="20"/>
    <n v="10"/>
  </r>
  <r>
    <s v="ORD-0521"/>
    <s v="Tammie Mapledoore"/>
    <x v="2"/>
    <s v="Vitamin C Serum"/>
    <d v="2024-07-21T00:00:00"/>
    <d v="2024-07-23T00:00:00"/>
    <n v="5"/>
    <n v="8.5"/>
    <x v="0"/>
    <x v="2"/>
    <x v="1"/>
    <x v="0"/>
    <x v="1"/>
    <x v="1"/>
    <n v="2"/>
    <n v="42.5"/>
    <n v="26"/>
    <n v="16.5"/>
  </r>
  <r>
    <s v="ORD-0522"/>
    <s v="Dudley FitzAlan"/>
    <x v="0"/>
    <s v="Daily Moisturizer"/>
    <d v="2024-04-04T00:00:00"/>
    <d v="2024-04-10T00:00:00"/>
    <n v="4"/>
    <n v="5.5"/>
    <x v="0"/>
    <x v="0"/>
    <x v="0"/>
    <x v="0"/>
    <x v="6"/>
    <x v="5"/>
    <n v="6"/>
    <n v="22"/>
    <n v="11"/>
    <n v="11"/>
  </r>
  <r>
    <s v="ORD-0523"/>
    <s v="Rodina Stebbings"/>
    <x v="1"/>
    <s v="Sunscreen SPF 30"/>
    <d v="2024-02-18T00:00:00"/>
    <d v="2024-02-20T00:00:00"/>
    <n v="1"/>
    <n v="4.75"/>
    <x v="0"/>
    <x v="4"/>
    <x v="1"/>
    <x v="0"/>
    <x v="3"/>
    <x v="1"/>
    <n v="2"/>
    <n v="4.75"/>
    <n v="3"/>
    <n v="1.75"/>
  </r>
  <r>
    <s v="ORD-0524"/>
    <s v="Jazmin Mattholie"/>
    <x v="0"/>
    <s v="Night Cream"/>
    <d v="2024-06-20T00:00:00"/>
    <d v="2024-06-23T00:00:00"/>
    <n v="5"/>
    <n v="6.5"/>
    <x v="0"/>
    <x v="0"/>
    <x v="2"/>
    <x v="0"/>
    <x v="4"/>
    <x v="5"/>
    <n v="3"/>
    <n v="32.5"/>
    <n v="19"/>
    <n v="13.5"/>
  </r>
  <r>
    <s v="ORD-0525"/>
    <s v="Flss Stanway"/>
    <x v="4"/>
    <s v="Gentle Cleanser"/>
    <d v="2024-01-28T00:00:00"/>
    <d v="2024-01-30T00:00:00"/>
    <n v="2"/>
    <n v="3"/>
    <x v="0"/>
    <x v="3"/>
    <x v="1"/>
    <x v="0"/>
    <x v="11"/>
    <x v="1"/>
    <n v="2"/>
    <n v="6"/>
    <n v="3"/>
    <n v="3"/>
  </r>
  <r>
    <s v="ORD-0526"/>
    <s v="Nobie Tolchard"/>
    <x v="3"/>
    <s v="Acne Toner"/>
    <d v="2024-08-14T00:00:00"/>
    <d v="2024-08-27T00:00:00"/>
    <n v="3"/>
    <n v="4.5"/>
    <x v="0"/>
    <x v="4"/>
    <x v="2"/>
    <x v="0"/>
    <x v="5"/>
    <x v="4"/>
    <n v="13"/>
    <n v="13.5"/>
    <n v="7"/>
    <n v="6.5"/>
  </r>
  <r>
    <s v="ORD-0527"/>
    <s v="Kerk Osgarby"/>
    <x v="2"/>
    <s v="Niacinamide Serum"/>
    <d v="2024-01-25T00:00:00"/>
    <d v="2024-01-27T00:00:00"/>
    <n v="5"/>
    <n v="8"/>
    <x v="1"/>
    <x v="1"/>
    <x v="2"/>
    <x v="0"/>
    <x v="11"/>
    <x v="5"/>
    <n v="2"/>
    <n v="40"/>
    <n v="23"/>
    <n v="17"/>
  </r>
  <r>
    <s v="ORD-0528"/>
    <s v="Guy Kenefick"/>
    <x v="3"/>
    <s v="Brightening Toner"/>
    <d v="2024-02-21T00:00:00"/>
    <d v="2024-02-22T00:00:00"/>
    <n v="2"/>
    <n v="4.5"/>
    <x v="0"/>
    <x v="1"/>
    <x v="1"/>
    <x v="0"/>
    <x v="3"/>
    <x v="4"/>
    <n v="1"/>
    <n v="9"/>
    <n v="5"/>
    <n v="4"/>
  </r>
  <r>
    <s v="ORD-0529"/>
    <s v="Worden Andersen"/>
    <x v="3"/>
    <s v="Acne Toner"/>
    <d v="2023-10-25T00:00:00"/>
    <d v="2023-10-27T00:00:00"/>
    <n v="2"/>
    <n v="4.5"/>
    <x v="0"/>
    <x v="3"/>
    <x v="0"/>
    <x v="1"/>
    <x v="7"/>
    <x v="4"/>
    <n v="2"/>
    <n v="9"/>
    <n v="5"/>
    <n v="4"/>
  </r>
  <r>
    <s v="ORD-0530"/>
    <s v="Keir Goodday"/>
    <x v="2"/>
    <s v="Vitamin C Serum"/>
    <d v="2024-05-02T00:00:00"/>
    <d v="2024-05-03T00:00:00"/>
    <n v="2"/>
    <n v="8.5"/>
    <x v="0"/>
    <x v="3"/>
    <x v="1"/>
    <x v="0"/>
    <x v="9"/>
    <x v="5"/>
    <n v="1"/>
    <n v="17"/>
    <n v="10"/>
    <n v="7"/>
  </r>
  <r>
    <s v="ORD-0531"/>
    <s v="Annabal Wasbrough"/>
    <x v="2"/>
    <s v="Vitamin C Serum"/>
    <d v="2023-12-18T00:00:00"/>
    <d v="2023-12-19T00:00:00"/>
    <n v="1"/>
    <n v="8.5"/>
    <x v="0"/>
    <x v="2"/>
    <x v="2"/>
    <x v="1"/>
    <x v="8"/>
    <x v="2"/>
    <n v="1"/>
    <n v="8.5"/>
    <n v="5"/>
    <n v="3.5"/>
  </r>
  <r>
    <s v="ORD-0532"/>
    <s v="Emylee Dawidowitsch"/>
    <x v="1"/>
    <s v="Sunscreen SPF 30"/>
    <d v="2024-02-21T00:00:00"/>
    <d v="2024-02-22T00:00:00"/>
    <n v="5"/>
    <n v="4.75"/>
    <x v="1"/>
    <x v="1"/>
    <x v="2"/>
    <x v="0"/>
    <x v="3"/>
    <x v="4"/>
    <n v="1"/>
    <n v="23.75"/>
    <n v="13"/>
    <n v="10.75"/>
  </r>
  <r>
    <s v="ORD-0533"/>
    <s v="Dougy Alexandersen"/>
    <x v="1"/>
    <s v="Matte Sunscreen"/>
    <d v="2023-10-26T00:00:00"/>
    <d v="2023-10-28T00:00:00"/>
    <n v="1"/>
    <n v="5.25"/>
    <x v="0"/>
    <x v="0"/>
    <x v="2"/>
    <x v="1"/>
    <x v="7"/>
    <x v="5"/>
    <n v="2"/>
    <n v="5.25"/>
    <n v="3"/>
    <n v="2.25"/>
  </r>
  <r>
    <s v="ORD-0534"/>
    <s v="Joanna Dudson"/>
    <x v="2"/>
    <s v="Hyaluronic Acid Serum"/>
    <d v="2023-11-17T00:00:00"/>
    <d v="2023-11-21T00:00:00"/>
    <n v="5"/>
    <n v="8.75"/>
    <x v="1"/>
    <x v="5"/>
    <x v="2"/>
    <x v="1"/>
    <x v="2"/>
    <x v="6"/>
    <n v="4"/>
    <n v="43.75"/>
    <n v="25"/>
    <n v="18.75"/>
  </r>
  <r>
    <s v="ORD-0535"/>
    <s v="Kayle Etty"/>
    <x v="4"/>
    <s v="Gentle Cleanser"/>
    <d v="2024-06-07T00:00:00"/>
    <d v="2024-06-08T00:00:00"/>
    <n v="3"/>
    <n v="3"/>
    <x v="0"/>
    <x v="3"/>
    <x v="1"/>
    <x v="0"/>
    <x v="4"/>
    <x v="6"/>
    <n v="1"/>
    <n v="9"/>
    <n v="4"/>
    <n v="5"/>
  </r>
  <r>
    <s v="ORD-0536"/>
    <s v="Jilly Paternoster"/>
    <x v="2"/>
    <s v="Niacinamide Serum"/>
    <d v="2024-02-28T00:00:00"/>
    <d v="2024-02-29T00:00:00"/>
    <n v="1"/>
    <n v="8"/>
    <x v="1"/>
    <x v="0"/>
    <x v="2"/>
    <x v="0"/>
    <x v="3"/>
    <x v="4"/>
    <n v="1"/>
    <n v="8"/>
    <n v="5"/>
    <n v="3"/>
  </r>
  <r>
    <s v="ORD-0537"/>
    <s v="Mariana Vanderson"/>
    <x v="3"/>
    <s v="Hydrating Toner"/>
    <d v="2023-11-06T00:00:00"/>
    <d v="2023-11-13T00:00:00"/>
    <n v="4"/>
    <n v="4.25"/>
    <x v="0"/>
    <x v="0"/>
    <x v="2"/>
    <x v="1"/>
    <x v="2"/>
    <x v="2"/>
    <n v="7"/>
    <n v="17"/>
    <n v="8"/>
    <n v="9"/>
  </r>
  <r>
    <s v="ORD-0538"/>
    <s v="Basia Allom"/>
    <x v="3"/>
    <s v="Brightening Toner"/>
    <d v="2024-07-18T00:00:00"/>
    <d v="2024-07-31T00:00:00"/>
    <n v="3"/>
    <n v="4.5"/>
    <x v="0"/>
    <x v="1"/>
    <x v="2"/>
    <x v="0"/>
    <x v="1"/>
    <x v="5"/>
    <n v="13"/>
    <n v="13.5"/>
    <n v="7"/>
    <n v="6.5"/>
  </r>
  <r>
    <s v="ORD-0539"/>
    <s v="Antonie Fearnehough"/>
    <x v="2"/>
    <s v="Vitamin C Serum"/>
    <d v="2024-07-20T00:00:00"/>
    <d v="2024-07-22T00:00:00"/>
    <n v="2"/>
    <n v="8.5"/>
    <x v="0"/>
    <x v="0"/>
    <x v="0"/>
    <x v="0"/>
    <x v="1"/>
    <x v="0"/>
    <n v="2"/>
    <n v="17"/>
    <n v="10"/>
    <n v="7"/>
  </r>
  <r>
    <s v="ORD-0540"/>
    <s v="Laney Gregolin"/>
    <x v="1"/>
    <s v="Matte Sunscreen"/>
    <d v="2024-10-28T00:00:00"/>
    <d v="2024-11-02T00:00:00"/>
    <n v="1"/>
    <n v="5.25"/>
    <x v="0"/>
    <x v="1"/>
    <x v="1"/>
    <x v="0"/>
    <x v="7"/>
    <x v="2"/>
    <n v="5"/>
    <n v="5.25"/>
    <n v="3"/>
    <n v="2.25"/>
  </r>
  <r>
    <s v="ORD-0541"/>
    <s v="Katey Wickersley"/>
    <x v="2"/>
    <s v="Retinol Serum"/>
    <d v="2024-04-15T00:00:00"/>
    <d v="2024-04-22T00:00:00"/>
    <n v="5"/>
    <n v="10"/>
    <x v="0"/>
    <x v="0"/>
    <x v="2"/>
    <x v="0"/>
    <x v="6"/>
    <x v="2"/>
    <n v="7"/>
    <n v="50"/>
    <n v="33"/>
    <n v="17"/>
  </r>
  <r>
    <s v="ORD-0542"/>
    <s v="Coleen Ludewig"/>
    <x v="1"/>
    <s v="Sunscreen SPF 30"/>
    <d v="2023-12-17T00:00:00"/>
    <d v="2023-12-30T00:00:00"/>
    <n v="2"/>
    <n v="4.75"/>
    <x v="0"/>
    <x v="2"/>
    <x v="2"/>
    <x v="1"/>
    <x v="8"/>
    <x v="1"/>
    <n v="13"/>
    <n v="9.5"/>
    <n v="5"/>
    <n v="4.5"/>
  </r>
  <r>
    <s v="ORD-0543"/>
    <s v="Karisa Holleworth"/>
    <x v="2"/>
    <s v="Niacinamide Serum"/>
    <d v="2023-09-24T00:00:00"/>
    <d v="2023-09-25T00:00:00"/>
    <n v="3"/>
    <n v="8"/>
    <x v="0"/>
    <x v="0"/>
    <x v="0"/>
    <x v="1"/>
    <x v="10"/>
    <x v="1"/>
    <n v="1"/>
    <n v="24"/>
    <n v="14"/>
    <n v="10"/>
  </r>
  <r>
    <s v="ORD-0544"/>
    <s v="Antonetta Dable"/>
    <x v="4"/>
    <s v="Hydrating Cleanser"/>
    <d v="2024-08-06T00:00:00"/>
    <d v="2024-08-10T00:00:00"/>
    <n v="3"/>
    <n v="4"/>
    <x v="1"/>
    <x v="1"/>
    <x v="2"/>
    <x v="0"/>
    <x v="5"/>
    <x v="3"/>
    <n v="4"/>
    <n v="12"/>
    <n v="6"/>
    <n v="6"/>
  </r>
  <r>
    <s v="ORD-0545"/>
    <s v="Alex Darragon"/>
    <x v="1"/>
    <s v="Sunscreen SPF 50"/>
    <d v="2023-09-19T00:00:00"/>
    <d v="2023-09-20T00:00:00"/>
    <n v="3"/>
    <n v="5"/>
    <x v="0"/>
    <x v="1"/>
    <x v="2"/>
    <x v="1"/>
    <x v="10"/>
    <x v="3"/>
    <n v="1"/>
    <n v="15"/>
    <n v="8"/>
    <n v="7"/>
  </r>
  <r>
    <s v="ORD-0546"/>
    <s v="Regan McKane"/>
    <x v="1"/>
    <s v="Sensitive Sunscreen"/>
    <d v="2024-07-31T00:00:00"/>
    <d v="2024-08-02T00:00:00"/>
    <n v="2"/>
    <n v="5.5"/>
    <x v="0"/>
    <x v="4"/>
    <x v="2"/>
    <x v="0"/>
    <x v="1"/>
    <x v="4"/>
    <n v="2"/>
    <n v="11"/>
    <n v="7"/>
    <n v="4"/>
  </r>
  <r>
    <s v="ORD-0547"/>
    <s v="Corrine Wooldridge"/>
    <x v="2"/>
    <s v="Retinol Serum"/>
    <d v="2023-08-15T00:00:00"/>
    <d v="2023-08-20T00:00:00"/>
    <n v="1"/>
    <n v="10"/>
    <x v="0"/>
    <x v="0"/>
    <x v="0"/>
    <x v="1"/>
    <x v="5"/>
    <x v="3"/>
    <n v="5"/>
    <n v="10"/>
    <n v="7"/>
    <n v="3"/>
  </r>
  <r>
    <s v="ORD-0548"/>
    <s v="Minni Cotterell"/>
    <x v="4"/>
    <s v="Hydrating Cleanser"/>
    <d v="2024-05-31T00:00:00"/>
    <d v="2024-06-03T00:00:00"/>
    <n v="1"/>
    <n v="4"/>
    <x v="0"/>
    <x v="0"/>
    <x v="1"/>
    <x v="0"/>
    <x v="9"/>
    <x v="6"/>
    <n v="3"/>
    <n v="4"/>
    <n v="2"/>
    <n v="2"/>
  </r>
  <r>
    <s v="ORD-0549"/>
    <s v="Jacob Sharphouse"/>
    <x v="1"/>
    <s v="Sunscreen SPF 30"/>
    <d v="2023-07-13T00:00:00"/>
    <d v="2023-07-17T00:00:00"/>
    <n v="1"/>
    <n v="4.75"/>
    <x v="0"/>
    <x v="2"/>
    <x v="2"/>
    <x v="1"/>
    <x v="1"/>
    <x v="5"/>
    <n v="4"/>
    <n v="4.75"/>
    <n v="3"/>
    <n v="1.75"/>
  </r>
  <r>
    <s v="ORD-0550"/>
    <s v="Remington Escudier"/>
    <x v="4"/>
    <s v="Brightening Cleanser"/>
    <d v="2023-11-20T00:00:00"/>
    <d v="2023-11-21T00:00:00"/>
    <n v="3"/>
    <n v="3.75"/>
    <x v="0"/>
    <x v="0"/>
    <x v="2"/>
    <x v="1"/>
    <x v="2"/>
    <x v="2"/>
    <n v="1"/>
    <n v="11.25"/>
    <n v="6"/>
    <n v="5.25"/>
  </r>
  <r>
    <s v="ORD-0551"/>
    <s v="Kathrine Fanner"/>
    <x v="0"/>
    <s v="Gel Moisturizer"/>
    <d v="2024-07-23T00:00:00"/>
    <d v="2024-07-25T00:00:00"/>
    <n v="5"/>
    <n v="5.75"/>
    <x v="1"/>
    <x v="1"/>
    <x v="1"/>
    <x v="0"/>
    <x v="1"/>
    <x v="3"/>
    <n v="2"/>
    <n v="28.75"/>
    <n v="14"/>
    <n v="14.75"/>
  </r>
  <r>
    <s v="ORD-0552"/>
    <s v="Carena Skitral"/>
    <x v="2"/>
    <s v="Vitamin C Serum"/>
    <d v="2024-04-06T00:00:00"/>
    <d v="2024-04-09T00:00:00"/>
    <n v="2"/>
    <n v="8.5"/>
    <x v="1"/>
    <x v="5"/>
    <x v="2"/>
    <x v="0"/>
    <x v="6"/>
    <x v="0"/>
    <n v="3"/>
    <n v="17"/>
    <n v="10"/>
    <n v="7"/>
  </r>
  <r>
    <s v="ORD-0553"/>
    <s v="Ailyn Willows"/>
    <x v="3"/>
    <s v="Acne Toner"/>
    <d v="2023-09-23T00:00:00"/>
    <d v="2023-09-24T00:00:00"/>
    <n v="3"/>
    <n v="4.5"/>
    <x v="0"/>
    <x v="0"/>
    <x v="2"/>
    <x v="1"/>
    <x v="10"/>
    <x v="0"/>
    <n v="1"/>
    <n v="13.5"/>
    <n v="7"/>
    <n v="6.5"/>
  </r>
  <r>
    <s v="ORD-0554"/>
    <s v="Ange Semerad"/>
    <x v="4"/>
    <s v="Gentle Cleanser"/>
    <d v="2023-11-24T00:00:00"/>
    <d v="2023-12-04T00:00:00"/>
    <n v="5"/>
    <n v="3"/>
    <x v="0"/>
    <x v="2"/>
    <x v="0"/>
    <x v="1"/>
    <x v="2"/>
    <x v="6"/>
    <n v="10"/>
    <n v="15"/>
    <n v="7"/>
    <n v="8"/>
  </r>
  <r>
    <s v="ORD-0555"/>
    <s v="Walton Malkinson"/>
    <x v="0"/>
    <s v="Repair Cream"/>
    <d v="2023-09-29T00:00:00"/>
    <d v="2023-10-02T00:00:00"/>
    <n v="1"/>
    <n v="6.25"/>
    <x v="0"/>
    <x v="0"/>
    <x v="1"/>
    <x v="1"/>
    <x v="10"/>
    <x v="6"/>
    <n v="3"/>
    <n v="6.25"/>
    <n v="3"/>
    <n v="3.25"/>
  </r>
  <r>
    <s v="ORD-0556"/>
    <s v="Cassandra Nickolls"/>
    <x v="0"/>
    <s v="Daily Moisturizer"/>
    <d v="2024-02-26T00:00:00"/>
    <d v="2024-03-10T00:00:00"/>
    <n v="3"/>
    <n v="5.5"/>
    <x v="1"/>
    <x v="1"/>
    <x v="0"/>
    <x v="0"/>
    <x v="3"/>
    <x v="2"/>
    <n v="13"/>
    <n v="16.5"/>
    <n v="9"/>
    <n v="7.5"/>
  </r>
  <r>
    <s v="ORD-0557"/>
    <s v="Claudell Slowly"/>
    <x v="0"/>
    <s v="Daily Moisturizer"/>
    <d v="2024-03-21T00:00:00"/>
    <d v="2024-03-27T00:00:00"/>
    <n v="4"/>
    <n v="5.5"/>
    <x v="0"/>
    <x v="1"/>
    <x v="1"/>
    <x v="0"/>
    <x v="0"/>
    <x v="5"/>
    <n v="6"/>
    <n v="22"/>
    <n v="11"/>
    <n v="11"/>
  </r>
  <r>
    <s v="ORD-0558"/>
    <s v="Sashenka Alvarez"/>
    <x v="1"/>
    <s v="Sunscreen SPF 30"/>
    <d v="2023-12-02T00:00:00"/>
    <d v="2023-12-05T00:00:00"/>
    <n v="3"/>
    <n v="4.75"/>
    <x v="0"/>
    <x v="1"/>
    <x v="2"/>
    <x v="1"/>
    <x v="8"/>
    <x v="0"/>
    <n v="3"/>
    <n v="14.25"/>
    <n v="8"/>
    <n v="6.25"/>
  </r>
  <r>
    <s v="ORD-0559"/>
    <s v="Dukie Adamkiewicz"/>
    <x v="3"/>
    <s v="Hydrating Toner"/>
    <d v="2024-10-15T00:00:00"/>
    <d v="2024-10-22T00:00:00"/>
    <n v="5"/>
    <n v="4.25"/>
    <x v="0"/>
    <x v="2"/>
    <x v="2"/>
    <x v="0"/>
    <x v="7"/>
    <x v="3"/>
    <n v="7"/>
    <n v="21.25"/>
    <n v="10"/>
    <n v="11.25"/>
  </r>
  <r>
    <s v="ORD-0560"/>
    <s v="Rance Playfair"/>
    <x v="1"/>
    <s v="Sunscreen SPF 50"/>
    <d v="2023-07-31T00:00:00"/>
    <d v="2023-08-01T00:00:00"/>
    <n v="2"/>
    <n v="5"/>
    <x v="0"/>
    <x v="3"/>
    <x v="1"/>
    <x v="1"/>
    <x v="1"/>
    <x v="2"/>
    <n v="1"/>
    <n v="10"/>
    <n v="6"/>
    <n v="4"/>
  </r>
  <r>
    <s v="ORD-0561"/>
    <s v="Idette Newborn"/>
    <x v="3"/>
    <s v="Hydrating Toner"/>
    <d v="2024-08-12T00:00:00"/>
    <d v="2024-08-15T00:00:00"/>
    <n v="5"/>
    <n v="4.25"/>
    <x v="0"/>
    <x v="1"/>
    <x v="1"/>
    <x v="0"/>
    <x v="5"/>
    <x v="2"/>
    <n v="3"/>
    <n v="21.25"/>
    <n v="10"/>
    <n v="11.25"/>
  </r>
  <r>
    <s v="ORD-0562"/>
    <s v="Brandtr Stiant"/>
    <x v="2"/>
    <s v="Niacinamide Serum"/>
    <d v="2023-12-08T00:00:00"/>
    <d v="2023-12-15T00:00:00"/>
    <n v="5"/>
    <n v="8"/>
    <x v="0"/>
    <x v="0"/>
    <x v="1"/>
    <x v="1"/>
    <x v="8"/>
    <x v="6"/>
    <n v="7"/>
    <n v="40"/>
    <n v="23"/>
    <n v="17"/>
  </r>
  <r>
    <s v="ORD-0563"/>
    <s v="Madalena Arghent"/>
    <x v="0"/>
    <s v="Gel Moisturizer"/>
    <d v="2024-07-12T00:00:00"/>
    <d v="2024-07-17T00:00:00"/>
    <n v="5"/>
    <n v="5.75"/>
    <x v="0"/>
    <x v="0"/>
    <x v="0"/>
    <x v="0"/>
    <x v="1"/>
    <x v="6"/>
    <n v="5"/>
    <n v="28.75"/>
    <n v="14"/>
    <n v="14.75"/>
  </r>
  <r>
    <s v="ORD-0564"/>
    <s v="Orelia Ickovici"/>
    <x v="4"/>
    <s v="Gentle Cleanser"/>
    <d v="2024-03-21T00:00:00"/>
    <d v="2024-03-25T00:00:00"/>
    <n v="4"/>
    <n v="3"/>
    <x v="0"/>
    <x v="0"/>
    <x v="1"/>
    <x v="0"/>
    <x v="0"/>
    <x v="5"/>
    <n v="4"/>
    <n v="12"/>
    <n v="6"/>
    <n v="6"/>
  </r>
  <r>
    <s v="ORD-0565"/>
    <s v="Maribel Trevallion"/>
    <x v="1"/>
    <s v="Sunscreen SPF 30"/>
    <d v="2024-09-30T00:00:00"/>
    <d v="2024-10-01T00:00:00"/>
    <n v="1"/>
    <n v="4.75"/>
    <x v="0"/>
    <x v="0"/>
    <x v="1"/>
    <x v="0"/>
    <x v="10"/>
    <x v="2"/>
    <n v="1"/>
    <n v="4.75"/>
    <n v="3"/>
    <n v="1.75"/>
  </r>
  <r>
    <s v="ORD-0566"/>
    <s v="Kerk Mitcheson"/>
    <x v="2"/>
    <s v="Vitamin C Serum"/>
    <d v="2024-08-08T00:00:00"/>
    <d v="2024-08-10T00:00:00"/>
    <n v="5"/>
    <n v="8.5"/>
    <x v="0"/>
    <x v="1"/>
    <x v="0"/>
    <x v="0"/>
    <x v="5"/>
    <x v="5"/>
    <n v="2"/>
    <n v="42.5"/>
    <n v="26"/>
    <n v="16.5"/>
  </r>
  <r>
    <s v="ORD-0567"/>
    <s v="Dot Jowsey"/>
    <x v="1"/>
    <s v="Matte Sunscreen"/>
    <d v="2024-07-20T00:00:00"/>
    <d v="2024-07-27T00:00:00"/>
    <n v="3"/>
    <n v="5.25"/>
    <x v="0"/>
    <x v="0"/>
    <x v="2"/>
    <x v="0"/>
    <x v="1"/>
    <x v="0"/>
    <n v="7"/>
    <n v="15.75"/>
    <n v="9"/>
    <n v="6.75"/>
  </r>
  <r>
    <s v="ORD-0568"/>
    <s v="Marcos Birtles"/>
    <x v="0"/>
    <s v="Night Cream"/>
    <d v="2024-02-16T00:00:00"/>
    <d v="2024-02-18T00:00:00"/>
    <n v="4"/>
    <n v="6.5"/>
    <x v="0"/>
    <x v="0"/>
    <x v="1"/>
    <x v="0"/>
    <x v="3"/>
    <x v="6"/>
    <n v="2"/>
    <n v="26"/>
    <n v="15"/>
    <n v="11"/>
  </r>
  <r>
    <s v="ORD-0569"/>
    <s v="Emelen Eddolls"/>
    <x v="4"/>
    <s v="Brightening Cleanser"/>
    <d v="2023-11-22T00:00:00"/>
    <d v="2023-11-28T00:00:00"/>
    <n v="2"/>
    <n v="3.75"/>
    <x v="1"/>
    <x v="0"/>
    <x v="2"/>
    <x v="1"/>
    <x v="2"/>
    <x v="4"/>
    <n v="6"/>
    <n v="7.5"/>
    <n v="4"/>
    <n v="3.5"/>
  </r>
  <r>
    <s v="ORD-0570"/>
    <s v="Sully Whiteson"/>
    <x v="3"/>
    <s v="Acne Toner"/>
    <d v="2024-10-08T00:00:00"/>
    <d v="2024-10-10T00:00:00"/>
    <n v="1"/>
    <n v="4.5"/>
    <x v="0"/>
    <x v="0"/>
    <x v="2"/>
    <x v="0"/>
    <x v="7"/>
    <x v="3"/>
    <n v="2"/>
    <n v="4.5"/>
    <n v="2"/>
    <n v="2.5"/>
  </r>
  <r>
    <s v="ORD-0571"/>
    <s v="Kristofer Galvin"/>
    <x v="0"/>
    <s v="Daily Moisturizer"/>
    <d v="2023-12-10T00:00:00"/>
    <d v="2023-12-13T00:00:00"/>
    <n v="4"/>
    <n v="5.5"/>
    <x v="1"/>
    <x v="1"/>
    <x v="0"/>
    <x v="1"/>
    <x v="8"/>
    <x v="1"/>
    <n v="3"/>
    <n v="22"/>
    <n v="11"/>
    <n v="11"/>
  </r>
  <r>
    <s v="ORD-0572"/>
    <s v="Sherman Stennett"/>
    <x v="4"/>
    <s v="Hydrating Cleanser"/>
    <d v="2024-09-11T00:00:00"/>
    <d v="2024-09-17T00:00:00"/>
    <n v="4"/>
    <n v="4"/>
    <x v="1"/>
    <x v="2"/>
    <x v="1"/>
    <x v="0"/>
    <x v="10"/>
    <x v="4"/>
    <n v="6"/>
    <n v="16"/>
    <n v="8"/>
    <n v="8"/>
  </r>
  <r>
    <s v="ORD-0573"/>
    <s v="Salomone Purviss"/>
    <x v="3"/>
    <s v="Brightening Toner"/>
    <d v="2024-08-05T00:00:00"/>
    <d v="2024-08-09T00:00:00"/>
    <n v="5"/>
    <n v="4.5"/>
    <x v="0"/>
    <x v="1"/>
    <x v="0"/>
    <x v="0"/>
    <x v="5"/>
    <x v="2"/>
    <n v="4"/>
    <n v="22.5"/>
    <n v="12"/>
    <n v="10.5"/>
  </r>
  <r>
    <s v="ORD-0574"/>
    <s v="Allin Barlthrop"/>
    <x v="3"/>
    <s v="Acne Toner"/>
    <d v="2024-08-19T00:00:00"/>
    <d v="2024-08-20T00:00:00"/>
    <n v="2"/>
    <n v="4.5"/>
    <x v="1"/>
    <x v="2"/>
    <x v="1"/>
    <x v="0"/>
    <x v="5"/>
    <x v="2"/>
    <n v="1"/>
    <n v="9"/>
    <n v="5"/>
    <n v="4"/>
  </r>
  <r>
    <s v="ORD-0575"/>
    <s v="Allyce Carlisso"/>
    <x v="3"/>
    <s v="Acne Toner"/>
    <d v="2024-10-22T00:00:00"/>
    <d v="2024-10-26T00:00:00"/>
    <n v="1"/>
    <n v="4.5"/>
    <x v="0"/>
    <x v="3"/>
    <x v="1"/>
    <x v="0"/>
    <x v="7"/>
    <x v="3"/>
    <n v="4"/>
    <n v="4.5"/>
    <n v="2"/>
    <n v="2.5"/>
  </r>
  <r>
    <s v="ORD-0576"/>
    <s v="Rodolfo Bodill"/>
    <x v="2"/>
    <s v="Vitamin C Serum"/>
    <d v="2024-05-18T00:00:00"/>
    <d v="2024-05-20T00:00:00"/>
    <n v="3"/>
    <n v="8.5"/>
    <x v="0"/>
    <x v="5"/>
    <x v="2"/>
    <x v="0"/>
    <x v="9"/>
    <x v="0"/>
    <n v="2"/>
    <n v="25.5"/>
    <n v="15"/>
    <n v="10.5"/>
  </r>
  <r>
    <s v="ORD-0577"/>
    <s v="Rowland Mainstone"/>
    <x v="1"/>
    <s v="Sunscreen SPF 30"/>
    <d v="2023-07-28T00:00:00"/>
    <d v="2023-07-31T00:00:00"/>
    <n v="1"/>
    <n v="4.75"/>
    <x v="0"/>
    <x v="0"/>
    <x v="2"/>
    <x v="1"/>
    <x v="1"/>
    <x v="6"/>
    <n v="3"/>
    <n v="4.75"/>
    <n v="3"/>
    <n v="1.75"/>
  </r>
  <r>
    <s v="ORD-0578"/>
    <s v="Alanson Linggard"/>
    <x v="1"/>
    <s v="Sunscreen SPF 50"/>
    <d v="2024-08-21T00:00:00"/>
    <d v="2024-08-23T00:00:00"/>
    <n v="5"/>
    <n v="5"/>
    <x v="0"/>
    <x v="2"/>
    <x v="0"/>
    <x v="0"/>
    <x v="5"/>
    <x v="4"/>
    <n v="2"/>
    <n v="25"/>
    <n v="14"/>
    <n v="11"/>
  </r>
  <r>
    <s v="ORD-0579"/>
    <s v="Letizia Bernardoux"/>
    <x v="0"/>
    <s v="Daily Moisturizer"/>
    <d v="2023-09-03T00:00:00"/>
    <d v="2023-09-07T00:00:00"/>
    <n v="1"/>
    <n v="5.5"/>
    <x v="1"/>
    <x v="1"/>
    <x v="0"/>
    <x v="1"/>
    <x v="10"/>
    <x v="1"/>
    <n v="4"/>
    <n v="5.5"/>
    <n v="3"/>
    <n v="2.5"/>
  </r>
  <r>
    <s v="ORD-0580"/>
    <s v="Elroy Prendergrast"/>
    <x v="4"/>
    <s v="Acne Cleanser"/>
    <d v="2024-01-18T00:00:00"/>
    <d v="2024-01-22T00:00:00"/>
    <n v="2"/>
    <n v="3.5"/>
    <x v="0"/>
    <x v="0"/>
    <x v="1"/>
    <x v="0"/>
    <x v="11"/>
    <x v="5"/>
    <n v="4"/>
    <n v="7"/>
    <n v="3"/>
    <n v="4"/>
  </r>
  <r>
    <s v="ORD-0581"/>
    <s v="Ethelbert Hasloch"/>
    <x v="4"/>
    <s v="Acne Cleanser"/>
    <d v="2024-04-11T00:00:00"/>
    <d v="2024-04-19T00:00:00"/>
    <n v="5"/>
    <n v="3.5"/>
    <x v="0"/>
    <x v="1"/>
    <x v="1"/>
    <x v="0"/>
    <x v="6"/>
    <x v="5"/>
    <n v="8"/>
    <n v="17.5"/>
    <n v="8"/>
    <n v="9.5"/>
  </r>
  <r>
    <s v="ORD-0582"/>
    <s v="Rafi Leaman"/>
    <x v="3"/>
    <s v="Soothing Toner"/>
    <d v="2023-11-19T00:00:00"/>
    <d v="2023-11-25T00:00:00"/>
    <n v="3"/>
    <n v="4.75"/>
    <x v="0"/>
    <x v="0"/>
    <x v="2"/>
    <x v="1"/>
    <x v="2"/>
    <x v="1"/>
    <n v="6"/>
    <n v="14.25"/>
    <n v="8"/>
    <n v="6.25"/>
  </r>
  <r>
    <s v="ORD-0583"/>
    <s v="Shea Rowett"/>
    <x v="0"/>
    <s v="Repair Cream"/>
    <d v="2024-07-06T00:00:00"/>
    <d v="2024-07-12T00:00:00"/>
    <n v="2"/>
    <n v="6.25"/>
    <x v="0"/>
    <x v="3"/>
    <x v="2"/>
    <x v="0"/>
    <x v="1"/>
    <x v="0"/>
    <n v="6"/>
    <n v="12.5"/>
    <n v="7"/>
    <n v="5.5"/>
  </r>
  <r>
    <s v="ORD-0584"/>
    <s v="Tyne Stollsteimer"/>
    <x v="2"/>
    <s v="Vitamin C Serum"/>
    <d v="2024-03-04T00:00:00"/>
    <d v="2024-03-06T00:00:00"/>
    <n v="5"/>
    <n v="8.5"/>
    <x v="0"/>
    <x v="5"/>
    <x v="2"/>
    <x v="0"/>
    <x v="0"/>
    <x v="2"/>
    <n v="2"/>
    <n v="42.5"/>
    <n v="26"/>
    <n v="16.5"/>
  </r>
  <r>
    <s v="ORD-0585"/>
    <s v="Amerigo Dmitr"/>
    <x v="2"/>
    <s v="Vitamin C Serum"/>
    <d v="2023-12-18T00:00:00"/>
    <d v="2023-12-21T00:00:00"/>
    <n v="4"/>
    <n v="8.5"/>
    <x v="0"/>
    <x v="3"/>
    <x v="1"/>
    <x v="1"/>
    <x v="8"/>
    <x v="2"/>
    <n v="3"/>
    <n v="34"/>
    <n v="20"/>
    <n v="14"/>
  </r>
  <r>
    <s v="ORD-0586"/>
    <s v="Lowe Pre"/>
    <x v="3"/>
    <s v="Soothing Toner"/>
    <d v="2023-10-27T00:00:00"/>
    <d v="2023-10-30T00:00:00"/>
    <n v="2"/>
    <n v="4.75"/>
    <x v="0"/>
    <x v="2"/>
    <x v="2"/>
    <x v="1"/>
    <x v="7"/>
    <x v="6"/>
    <n v="3"/>
    <n v="9.5"/>
    <n v="5"/>
    <n v="4.5"/>
  </r>
  <r>
    <s v="ORD-0587"/>
    <s v="Mitch Brantl"/>
    <x v="1"/>
    <s v="Sensitive Sunscreen"/>
    <d v="2023-10-23T00:00:00"/>
    <d v="2023-10-26T00:00:00"/>
    <n v="3"/>
    <n v="5.5"/>
    <x v="1"/>
    <x v="2"/>
    <x v="0"/>
    <x v="1"/>
    <x v="7"/>
    <x v="2"/>
    <n v="3"/>
    <n v="16.5"/>
    <n v="10"/>
    <n v="6.5"/>
  </r>
  <r>
    <s v="ORD-0588"/>
    <s v="Katleen Cicchelli"/>
    <x v="2"/>
    <s v="Vitamin C Serum"/>
    <d v="2024-02-02T00:00:00"/>
    <d v="2024-02-08T00:00:00"/>
    <n v="2"/>
    <n v="8.5"/>
    <x v="0"/>
    <x v="4"/>
    <x v="2"/>
    <x v="0"/>
    <x v="3"/>
    <x v="6"/>
    <n v="6"/>
    <n v="17"/>
    <n v="10"/>
    <n v="7"/>
  </r>
  <r>
    <s v="ORD-0589"/>
    <s v="Roanna covino"/>
    <x v="4"/>
    <s v="Brightening Cleanser"/>
    <d v="2024-01-08T00:00:00"/>
    <d v="2024-01-14T00:00:00"/>
    <n v="1"/>
    <n v="3.75"/>
    <x v="0"/>
    <x v="0"/>
    <x v="2"/>
    <x v="0"/>
    <x v="11"/>
    <x v="2"/>
    <n v="6"/>
    <n v="3.75"/>
    <n v="2"/>
    <n v="1.75"/>
  </r>
  <r>
    <s v="ORD-0590"/>
    <s v="Chastity Stanger"/>
    <x v="2"/>
    <s v="Niacinamide Serum"/>
    <d v="2024-03-28T00:00:00"/>
    <d v="2024-03-29T00:00:00"/>
    <n v="5"/>
    <n v="8"/>
    <x v="0"/>
    <x v="2"/>
    <x v="2"/>
    <x v="0"/>
    <x v="0"/>
    <x v="5"/>
    <n v="1"/>
    <n v="40"/>
    <n v="23"/>
    <n v="17"/>
  </r>
  <r>
    <s v="ORD-0591"/>
    <s v="Cesare Glassard"/>
    <x v="2"/>
    <s v="Hyaluronic Acid Serum"/>
    <d v="2024-06-14T00:00:00"/>
    <d v="2024-06-15T00:00:00"/>
    <n v="1"/>
    <n v="8.75"/>
    <x v="0"/>
    <x v="4"/>
    <x v="1"/>
    <x v="0"/>
    <x v="4"/>
    <x v="6"/>
    <n v="1"/>
    <n v="8.75"/>
    <n v="5"/>
    <n v="3.75"/>
  </r>
  <r>
    <s v="ORD-0592"/>
    <s v="Bernarr Waddingham"/>
    <x v="3"/>
    <s v="Hydrating Toner"/>
    <d v="2024-07-22T00:00:00"/>
    <d v="2024-07-28T00:00:00"/>
    <n v="5"/>
    <n v="4.25"/>
    <x v="0"/>
    <x v="3"/>
    <x v="0"/>
    <x v="0"/>
    <x v="1"/>
    <x v="2"/>
    <n v="6"/>
    <n v="21.25"/>
    <n v="10"/>
    <n v="11.25"/>
  </r>
  <r>
    <s v="ORD-0593"/>
    <s v="Marillin Jakoubek"/>
    <x v="3"/>
    <s v="Brightening Toner"/>
    <d v="2024-09-11T00:00:00"/>
    <d v="2024-09-16T00:00:00"/>
    <n v="4"/>
    <n v="4.5"/>
    <x v="0"/>
    <x v="1"/>
    <x v="0"/>
    <x v="0"/>
    <x v="10"/>
    <x v="4"/>
    <n v="5"/>
    <n v="18"/>
    <n v="9"/>
    <n v="9"/>
  </r>
  <r>
    <s v="ORD-0594"/>
    <s v="Giulietta Anwell"/>
    <x v="4"/>
    <s v="Gentle Cleanser"/>
    <d v="2024-07-22T00:00:00"/>
    <d v="2024-07-29T00:00:00"/>
    <n v="5"/>
    <n v="3"/>
    <x v="0"/>
    <x v="5"/>
    <x v="0"/>
    <x v="0"/>
    <x v="1"/>
    <x v="2"/>
    <n v="7"/>
    <n v="15"/>
    <n v="7"/>
    <n v="8"/>
  </r>
  <r>
    <s v="ORD-0595"/>
    <s v="Freddy Jenoure"/>
    <x v="3"/>
    <s v="Hydrating Toner"/>
    <d v="2024-02-07T00:00:00"/>
    <d v="2024-02-08T00:00:00"/>
    <n v="4"/>
    <n v="4.25"/>
    <x v="0"/>
    <x v="2"/>
    <x v="2"/>
    <x v="0"/>
    <x v="3"/>
    <x v="4"/>
    <n v="1"/>
    <n v="17"/>
    <n v="8"/>
    <n v="9"/>
  </r>
  <r>
    <s v="ORD-0596"/>
    <s v="Nessy Bilton"/>
    <x v="1"/>
    <s v="Sunscreen SPF 30"/>
    <d v="2024-01-28T00:00:00"/>
    <d v="2024-02-10T00:00:00"/>
    <n v="2"/>
    <n v="4.75"/>
    <x v="0"/>
    <x v="5"/>
    <x v="0"/>
    <x v="0"/>
    <x v="11"/>
    <x v="1"/>
    <n v="13"/>
    <n v="9.5"/>
    <n v="5"/>
    <n v="4.5"/>
  </r>
  <r>
    <s v="ORD-0597"/>
    <s v="Kristoforo Rolley"/>
    <x v="0"/>
    <s v="Daily Moisturizer"/>
    <d v="2024-01-29T00:00:00"/>
    <d v="2024-02-03T00:00:00"/>
    <n v="1"/>
    <n v="5.5"/>
    <x v="0"/>
    <x v="3"/>
    <x v="1"/>
    <x v="0"/>
    <x v="11"/>
    <x v="2"/>
    <n v="5"/>
    <n v="5.5"/>
    <n v="3"/>
    <n v="2.5"/>
  </r>
  <r>
    <s v="ORD-0598"/>
    <s v="Cristen Noye"/>
    <x v="4"/>
    <s v="Acne Cleanser"/>
    <d v="2024-04-03T00:00:00"/>
    <d v="2024-04-06T00:00:00"/>
    <n v="3"/>
    <n v="3.5"/>
    <x v="0"/>
    <x v="5"/>
    <x v="0"/>
    <x v="0"/>
    <x v="6"/>
    <x v="4"/>
    <n v="3"/>
    <n v="10.5"/>
    <n v="5"/>
    <n v="5.5"/>
  </r>
  <r>
    <s v="ORD-0599"/>
    <s v="Carola Isack"/>
    <x v="2"/>
    <s v="Retinol Serum"/>
    <d v="2024-04-09T00:00:00"/>
    <d v="2024-04-10T00:00:00"/>
    <n v="3"/>
    <n v="10"/>
    <x v="0"/>
    <x v="2"/>
    <x v="1"/>
    <x v="0"/>
    <x v="6"/>
    <x v="3"/>
    <n v="1"/>
    <n v="30"/>
    <n v="20"/>
    <n v="10"/>
  </r>
  <r>
    <s v="ORD-0600"/>
    <s v="Reine Gander"/>
    <x v="3"/>
    <s v="Brightening Toner"/>
    <d v="2024-02-27T00:00:00"/>
    <d v="2024-03-01T00:00:00"/>
    <n v="1"/>
    <n v="4.5"/>
    <x v="0"/>
    <x v="0"/>
    <x v="2"/>
    <x v="0"/>
    <x v="3"/>
    <x v="3"/>
    <n v="3"/>
    <n v="4.5"/>
    <n v="2"/>
    <n v="2.5"/>
  </r>
  <r>
    <s v="ORD-0601"/>
    <s v="Madel Forestall"/>
    <x v="4"/>
    <s v="Acne Cleanser"/>
    <d v="2024-06-05T00:00:00"/>
    <d v="2024-06-08T00:00:00"/>
    <n v="5"/>
    <n v="3.5"/>
    <x v="0"/>
    <x v="1"/>
    <x v="0"/>
    <x v="0"/>
    <x v="4"/>
    <x v="4"/>
    <n v="3"/>
    <n v="17.5"/>
    <n v="8"/>
    <n v="9.5"/>
  </r>
  <r>
    <s v="ORD-0602"/>
    <s v="Silvester Treske"/>
    <x v="4"/>
    <s v="Acne Cleanser"/>
    <d v="2024-09-12T00:00:00"/>
    <d v="2024-09-14T00:00:00"/>
    <n v="3"/>
    <n v="3.5"/>
    <x v="0"/>
    <x v="0"/>
    <x v="1"/>
    <x v="0"/>
    <x v="10"/>
    <x v="5"/>
    <n v="2"/>
    <n v="10.5"/>
    <n v="5"/>
    <n v="5.5"/>
  </r>
  <r>
    <s v="ORD-0603"/>
    <s v="Ashil Durrington"/>
    <x v="3"/>
    <s v="Hydrating Toner"/>
    <d v="2024-07-19T00:00:00"/>
    <d v="2024-07-29T00:00:00"/>
    <n v="4"/>
    <n v="4.25"/>
    <x v="0"/>
    <x v="2"/>
    <x v="2"/>
    <x v="0"/>
    <x v="1"/>
    <x v="6"/>
    <n v="10"/>
    <n v="17"/>
    <n v="8"/>
    <n v="9"/>
  </r>
  <r>
    <s v="ORD-0604"/>
    <s v="Violet Hansod"/>
    <x v="2"/>
    <s v="Retinol Serum"/>
    <d v="2024-10-10T00:00:00"/>
    <d v="2024-10-12T00:00:00"/>
    <n v="5"/>
    <n v="10"/>
    <x v="0"/>
    <x v="0"/>
    <x v="2"/>
    <x v="0"/>
    <x v="7"/>
    <x v="5"/>
    <n v="2"/>
    <n v="50"/>
    <n v="33"/>
    <n v="17"/>
  </r>
  <r>
    <s v="ORD-0605"/>
    <s v="Muire Rosentholer"/>
    <x v="2"/>
    <s v="Retinol Serum"/>
    <d v="2024-07-20T00:00:00"/>
    <d v="2024-07-21T00:00:00"/>
    <n v="2"/>
    <n v="10"/>
    <x v="0"/>
    <x v="1"/>
    <x v="2"/>
    <x v="0"/>
    <x v="1"/>
    <x v="0"/>
    <n v="1"/>
    <n v="20"/>
    <n v="13"/>
    <n v="7"/>
  </r>
  <r>
    <s v="ORD-0606"/>
    <s v="Katharine Lacrouts"/>
    <x v="4"/>
    <s v="Acne Cleanser"/>
    <d v="2024-09-24T00:00:00"/>
    <d v="2024-09-27T00:00:00"/>
    <n v="3"/>
    <n v="3.5"/>
    <x v="0"/>
    <x v="2"/>
    <x v="1"/>
    <x v="0"/>
    <x v="10"/>
    <x v="3"/>
    <n v="3"/>
    <n v="10.5"/>
    <n v="5"/>
    <n v="5.5"/>
  </r>
  <r>
    <s v="ORD-0607"/>
    <s v="Idette Hargraves"/>
    <x v="2"/>
    <s v="Hyaluronic Acid Serum"/>
    <d v="2023-11-15T00:00:00"/>
    <d v="2023-11-17T00:00:00"/>
    <n v="3"/>
    <n v="8.75"/>
    <x v="0"/>
    <x v="0"/>
    <x v="2"/>
    <x v="1"/>
    <x v="2"/>
    <x v="4"/>
    <n v="2"/>
    <n v="26.25"/>
    <n v="15"/>
    <n v="11.25"/>
  </r>
  <r>
    <s v="ORD-0608"/>
    <s v="Zaria Clifft"/>
    <x v="3"/>
    <s v="Hydrating Toner"/>
    <d v="2024-10-03T00:00:00"/>
    <d v="2024-10-09T00:00:00"/>
    <n v="4"/>
    <n v="4.25"/>
    <x v="0"/>
    <x v="0"/>
    <x v="2"/>
    <x v="0"/>
    <x v="7"/>
    <x v="5"/>
    <n v="6"/>
    <n v="17"/>
    <n v="8"/>
    <n v="9"/>
  </r>
  <r>
    <s v="ORD-0609"/>
    <s v="Inga Lackner"/>
    <x v="0"/>
    <s v="Gel Moisturizer"/>
    <d v="2023-10-17T00:00:00"/>
    <d v="2023-10-26T00:00:00"/>
    <n v="4"/>
    <n v="5.75"/>
    <x v="0"/>
    <x v="0"/>
    <x v="2"/>
    <x v="1"/>
    <x v="7"/>
    <x v="3"/>
    <n v="9"/>
    <n v="23"/>
    <n v="12"/>
    <n v="11"/>
  </r>
  <r>
    <s v="ORD-0610"/>
    <s v="Clo Schlag"/>
    <x v="3"/>
    <s v="Hydrating Toner"/>
    <d v="2024-01-06T00:00:00"/>
    <d v="2024-01-08T00:00:00"/>
    <n v="5"/>
    <n v="4.25"/>
    <x v="0"/>
    <x v="3"/>
    <x v="2"/>
    <x v="0"/>
    <x v="11"/>
    <x v="0"/>
    <n v="2"/>
    <n v="21.25"/>
    <n v="10"/>
    <n v="11.25"/>
  </r>
  <r>
    <s v="ORD-0611"/>
    <s v="Joey Timmes"/>
    <x v="0"/>
    <s v="Night Cream"/>
    <d v="2023-08-27T00:00:00"/>
    <d v="2023-09-02T00:00:00"/>
    <n v="1"/>
    <n v="6.5"/>
    <x v="1"/>
    <x v="1"/>
    <x v="0"/>
    <x v="1"/>
    <x v="5"/>
    <x v="1"/>
    <n v="6"/>
    <n v="6.5"/>
    <n v="4"/>
    <n v="2.5"/>
  </r>
  <r>
    <s v="ORD-0612"/>
    <s v="Hoebart Beszant"/>
    <x v="2"/>
    <s v="Hyaluronic Acid Serum"/>
    <d v="2023-10-28T00:00:00"/>
    <d v="2023-10-30T00:00:00"/>
    <n v="3"/>
    <n v="8.75"/>
    <x v="0"/>
    <x v="4"/>
    <x v="1"/>
    <x v="1"/>
    <x v="7"/>
    <x v="0"/>
    <n v="2"/>
    <n v="26.25"/>
    <n v="15"/>
    <n v="11.25"/>
  </r>
  <r>
    <s v="ORD-0613"/>
    <s v="Tabb De Leek"/>
    <x v="1"/>
    <s v="Sunscreen SPF 50"/>
    <d v="2024-02-13T00:00:00"/>
    <d v="2024-02-14T00:00:00"/>
    <n v="4"/>
    <n v="5"/>
    <x v="0"/>
    <x v="4"/>
    <x v="1"/>
    <x v="0"/>
    <x v="3"/>
    <x v="3"/>
    <n v="1"/>
    <n v="20"/>
    <n v="11"/>
    <n v="9"/>
  </r>
  <r>
    <s v="ORD-0614"/>
    <s v="Florrie Dran"/>
    <x v="2"/>
    <s v="Retinol Serum"/>
    <d v="2023-11-23T00:00:00"/>
    <d v="2023-11-24T00:00:00"/>
    <n v="5"/>
    <n v="10"/>
    <x v="0"/>
    <x v="0"/>
    <x v="2"/>
    <x v="1"/>
    <x v="2"/>
    <x v="5"/>
    <n v="1"/>
    <n v="50"/>
    <n v="33"/>
    <n v="17"/>
  </r>
  <r>
    <s v="ORD-0615"/>
    <s v="Leeland Fiddian"/>
    <x v="4"/>
    <s v="Gentle Cleanser"/>
    <d v="2023-08-10T00:00:00"/>
    <d v="2023-08-13T00:00:00"/>
    <n v="2"/>
    <n v="3"/>
    <x v="0"/>
    <x v="1"/>
    <x v="1"/>
    <x v="1"/>
    <x v="5"/>
    <x v="5"/>
    <n v="3"/>
    <n v="6"/>
    <n v="3"/>
    <n v="3"/>
  </r>
  <r>
    <s v="ORD-0616"/>
    <s v="Rikki McGuiney"/>
    <x v="2"/>
    <s v="Retinol Serum"/>
    <d v="2023-12-21T00:00:00"/>
    <d v="2023-12-23T00:00:00"/>
    <n v="2"/>
    <n v="10"/>
    <x v="0"/>
    <x v="3"/>
    <x v="1"/>
    <x v="1"/>
    <x v="8"/>
    <x v="5"/>
    <n v="2"/>
    <n v="20"/>
    <n v="13"/>
    <n v="7"/>
  </r>
  <r>
    <s v="ORD-0617"/>
    <s v="Linn Reddyhoff"/>
    <x v="4"/>
    <s v="Brightening Cleanser"/>
    <d v="2023-12-06T00:00:00"/>
    <d v="2023-12-08T00:00:00"/>
    <n v="3"/>
    <n v="3.75"/>
    <x v="0"/>
    <x v="1"/>
    <x v="1"/>
    <x v="1"/>
    <x v="8"/>
    <x v="4"/>
    <n v="2"/>
    <n v="11.25"/>
    <n v="6"/>
    <n v="5.25"/>
  </r>
  <r>
    <s v="ORD-0618"/>
    <s v="Nils Overbury"/>
    <x v="2"/>
    <s v="Hyaluronic Acid Serum"/>
    <d v="2024-10-19T00:00:00"/>
    <d v="2024-10-26T00:00:00"/>
    <n v="1"/>
    <n v="8.75"/>
    <x v="1"/>
    <x v="2"/>
    <x v="1"/>
    <x v="0"/>
    <x v="7"/>
    <x v="0"/>
    <n v="7"/>
    <n v="8.75"/>
    <n v="5"/>
    <n v="3.75"/>
  </r>
  <r>
    <s v="ORD-0619"/>
    <s v="Donella Albone"/>
    <x v="0"/>
    <s v="Gel Moisturizer"/>
    <d v="2024-02-29T00:00:00"/>
    <d v="2024-03-01T00:00:00"/>
    <n v="3"/>
    <n v="5.75"/>
    <x v="0"/>
    <x v="1"/>
    <x v="1"/>
    <x v="0"/>
    <x v="3"/>
    <x v="5"/>
    <n v="1"/>
    <n v="17.25"/>
    <n v="9"/>
    <n v="8.25"/>
  </r>
  <r>
    <s v="ORD-0620"/>
    <s v="Geri Tidmas"/>
    <x v="2"/>
    <s v="Hyaluronic Acid Serum"/>
    <d v="2023-09-10T00:00:00"/>
    <d v="2023-09-11T00:00:00"/>
    <n v="1"/>
    <n v="8.75"/>
    <x v="0"/>
    <x v="0"/>
    <x v="2"/>
    <x v="1"/>
    <x v="10"/>
    <x v="1"/>
    <n v="1"/>
    <n v="8.75"/>
    <n v="5"/>
    <n v="3.75"/>
  </r>
  <r>
    <s v="ORD-0621"/>
    <s v="Hermione Alcott"/>
    <x v="4"/>
    <s v="Gentle Cleanser"/>
    <d v="2023-12-19T00:00:00"/>
    <d v="2023-12-28T00:00:00"/>
    <n v="1"/>
    <n v="3"/>
    <x v="0"/>
    <x v="2"/>
    <x v="1"/>
    <x v="1"/>
    <x v="8"/>
    <x v="3"/>
    <n v="9"/>
    <n v="3"/>
    <n v="1"/>
    <n v="2"/>
  </r>
  <r>
    <s v="ORD-0622"/>
    <s v="Weston Gainsburgh"/>
    <x v="2"/>
    <s v="Vitamin C Serum"/>
    <d v="2024-01-25T00:00:00"/>
    <d v="2024-01-29T00:00:00"/>
    <n v="2"/>
    <n v="8.5"/>
    <x v="1"/>
    <x v="3"/>
    <x v="0"/>
    <x v="0"/>
    <x v="11"/>
    <x v="5"/>
    <n v="4"/>
    <n v="17"/>
    <n v="10"/>
    <n v="7"/>
  </r>
  <r>
    <s v="ORD-0623"/>
    <s v="Standford Kytley"/>
    <x v="4"/>
    <s v="Gentle Cleanser"/>
    <d v="2023-07-19T00:00:00"/>
    <d v="2023-07-20T00:00:00"/>
    <n v="1"/>
    <n v="3"/>
    <x v="0"/>
    <x v="0"/>
    <x v="1"/>
    <x v="1"/>
    <x v="1"/>
    <x v="4"/>
    <n v="1"/>
    <n v="3"/>
    <n v="1"/>
    <n v="2"/>
  </r>
  <r>
    <s v="ORD-0624"/>
    <s v="Mellicent Pettus"/>
    <x v="1"/>
    <s v="Sunscreen SPF 50"/>
    <d v="2024-03-24T00:00:00"/>
    <d v="2024-03-26T00:00:00"/>
    <n v="3"/>
    <n v="5"/>
    <x v="0"/>
    <x v="2"/>
    <x v="1"/>
    <x v="0"/>
    <x v="0"/>
    <x v="1"/>
    <n v="2"/>
    <n v="15"/>
    <n v="8"/>
    <n v="7"/>
  </r>
  <r>
    <s v="ORD-0625"/>
    <s v="Lyle Grzelczyk"/>
    <x v="2"/>
    <s v="Vitamin C Serum"/>
    <d v="2023-08-28T00:00:00"/>
    <d v="2023-08-31T00:00:00"/>
    <n v="2"/>
    <n v="8.5"/>
    <x v="1"/>
    <x v="1"/>
    <x v="0"/>
    <x v="1"/>
    <x v="5"/>
    <x v="2"/>
    <n v="3"/>
    <n v="17"/>
    <n v="10"/>
    <n v="7"/>
  </r>
  <r>
    <s v="ORD-0626"/>
    <s v="Cindelyn Ziebart"/>
    <x v="1"/>
    <s v="Sunscreen SPF 30"/>
    <d v="2023-11-11T00:00:00"/>
    <d v="2023-11-15T00:00:00"/>
    <n v="4"/>
    <n v="4.75"/>
    <x v="1"/>
    <x v="0"/>
    <x v="2"/>
    <x v="1"/>
    <x v="2"/>
    <x v="0"/>
    <n v="4"/>
    <n v="19"/>
    <n v="10"/>
    <n v="9"/>
  </r>
  <r>
    <s v="ORD-0627"/>
    <s v="Pammie Jakobsson"/>
    <x v="2"/>
    <s v="Retinol Serum"/>
    <d v="2023-11-06T00:00:00"/>
    <d v="2023-11-18T00:00:00"/>
    <n v="3"/>
    <n v="10"/>
    <x v="0"/>
    <x v="1"/>
    <x v="0"/>
    <x v="1"/>
    <x v="2"/>
    <x v="2"/>
    <n v="12"/>
    <n v="30"/>
    <n v="20"/>
    <n v="10"/>
  </r>
  <r>
    <s v="ORD-0628"/>
    <s v="Philbert Darbishire"/>
    <x v="0"/>
    <s v="Gel Moisturizer"/>
    <d v="2023-09-22T00:00:00"/>
    <d v="2023-10-01T00:00:00"/>
    <n v="4"/>
    <n v="5.75"/>
    <x v="0"/>
    <x v="2"/>
    <x v="1"/>
    <x v="1"/>
    <x v="10"/>
    <x v="6"/>
    <n v="9"/>
    <n v="23"/>
    <n v="12"/>
    <n v="11"/>
  </r>
  <r>
    <s v="ORD-0629"/>
    <s v="Finlay Eaglen"/>
    <x v="4"/>
    <s v="Hydrating Cleanser"/>
    <d v="2023-09-19T00:00:00"/>
    <d v="2023-09-21T00:00:00"/>
    <n v="1"/>
    <n v="4"/>
    <x v="0"/>
    <x v="0"/>
    <x v="0"/>
    <x v="1"/>
    <x v="10"/>
    <x v="3"/>
    <n v="2"/>
    <n v="4"/>
    <n v="2"/>
    <n v="2"/>
  </r>
  <r>
    <s v="ORD-0630"/>
    <s v="Dolli Astill"/>
    <x v="2"/>
    <s v="Vitamin C Serum"/>
    <d v="2023-10-23T00:00:00"/>
    <d v="2023-10-25T00:00:00"/>
    <n v="4"/>
    <n v="8.5"/>
    <x v="1"/>
    <x v="0"/>
    <x v="1"/>
    <x v="1"/>
    <x v="7"/>
    <x v="2"/>
    <n v="2"/>
    <n v="34"/>
    <n v="20"/>
    <n v="14"/>
  </r>
  <r>
    <s v="ORD-0631"/>
    <s v="Hank Standrin"/>
    <x v="2"/>
    <s v="Niacinamide Serum"/>
    <d v="2023-12-22T00:00:00"/>
    <d v="2023-12-25T00:00:00"/>
    <n v="4"/>
    <n v="8"/>
    <x v="1"/>
    <x v="2"/>
    <x v="2"/>
    <x v="1"/>
    <x v="8"/>
    <x v="6"/>
    <n v="3"/>
    <n v="32"/>
    <n v="19"/>
    <n v="13"/>
  </r>
  <r>
    <s v="ORD-0632"/>
    <s v="Mimi Ozelton"/>
    <x v="4"/>
    <s v="Acne Cleanser"/>
    <d v="2024-03-11T00:00:00"/>
    <d v="2024-03-13T00:00:00"/>
    <n v="5"/>
    <n v="3.5"/>
    <x v="0"/>
    <x v="1"/>
    <x v="2"/>
    <x v="0"/>
    <x v="0"/>
    <x v="2"/>
    <n v="2"/>
    <n v="17.5"/>
    <n v="8"/>
    <n v="9.5"/>
  </r>
  <r>
    <s v="ORD-0633"/>
    <s v="Clovis McCarlie"/>
    <x v="0"/>
    <s v="Daily Moisturizer"/>
    <d v="2024-07-22T00:00:00"/>
    <d v="2024-07-23T00:00:00"/>
    <n v="2"/>
    <n v="5.5"/>
    <x v="0"/>
    <x v="1"/>
    <x v="0"/>
    <x v="0"/>
    <x v="1"/>
    <x v="2"/>
    <n v="1"/>
    <n v="11"/>
    <n v="6"/>
    <n v="5"/>
  </r>
  <r>
    <s v="ORD-0634"/>
    <s v="Anastassia Pond"/>
    <x v="0"/>
    <s v="Daily Moisturizer"/>
    <d v="2024-04-12T00:00:00"/>
    <d v="2024-04-13T00:00:00"/>
    <n v="5"/>
    <n v="5.5"/>
    <x v="1"/>
    <x v="0"/>
    <x v="0"/>
    <x v="0"/>
    <x v="6"/>
    <x v="6"/>
    <n v="1"/>
    <n v="27.5"/>
    <n v="14"/>
    <n v="13.5"/>
  </r>
  <r>
    <s v="ORD-0635"/>
    <s v="Ezequiel Gundrey"/>
    <x v="2"/>
    <s v="Vitamin C Serum"/>
    <d v="2024-10-02T00:00:00"/>
    <d v="2024-10-08T00:00:00"/>
    <n v="2"/>
    <n v="8.5"/>
    <x v="0"/>
    <x v="1"/>
    <x v="2"/>
    <x v="0"/>
    <x v="7"/>
    <x v="4"/>
    <n v="6"/>
    <n v="17"/>
    <n v="10"/>
    <n v="7"/>
  </r>
  <r>
    <s v="ORD-0636"/>
    <s v="Sterne Spedding"/>
    <x v="2"/>
    <s v="Hyaluronic Acid Serum"/>
    <d v="2023-10-28T00:00:00"/>
    <d v="2023-10-31T00:00:00"/>
    <n v="1"/>
    <n v="8.75"/>
    <x v="0"/>
    <x v="0"/>
    <x v="0"/>
    <x v="1"/>
    <x v="7"/>
    <x v="0"/>
    <n v="3"/>
    <n v="8.75"/>
    <n v="5"/>
    <n v="3.75"/>
  </r>
  <r>
    <s v="ORD-0637"/>
    <s v="Conrado Silby"/>
    <x v="1"/>
    <s v="Sunscreen SPF 30"/>
    <d v="2024-01-19T00:00:00"/>
    <d v="2024-01-26T00:00:00"/>
    <n v="5"/>
    <n v="4.75"/>
    <x v="0"/>
    <x v="0"/>
    <x v="0"/>
    <x v="0"/>
    <x v="11"/>
    <x v="6"/>
    <n v="7"/>
    <n v="23.75"/>
    <n v="13"/>
    <n v="10.75"/>
  </r>
  <r>
    <s v="ORD-0638"/>
    <s v="Vic De Ferraris"/>
    <x v="4"/>
    <s v="Gentle Cleanser"/>
    <d v="2023-07-25T00:00:00"/>
    <d v="2023-07-28T00:00:00"/>
    <n v="4"/>
    <n v="3"/>
    <x v="0"/>
    <x v="1"/>
    <x v="0"/>
    <x v="1"/>
    <x v="1"/>
    <x v="3"/>
    <n v="3"/>
    <n v="12"/>
    <n v="6"/>
    <n v="6"/>
  </r>
  <r>
    <s v="ORD-0639"/>
    <s v="Arlie Bassham"/>
    <x v="2"/>
    <s v="Retinol Serum"/>
    <d v="2024-06-28T00:00:00"/>
    <d v="2024-07-05T00:00:00"/>
    <n v="3"/>
    <n v="10"/>
    <x v="0"/>
    <x v="0"/>
    <x v="2"/>
    <x v="0"/>
    <x v="4"/>
    <x v="6"/>
    <n v="7"/>
    <n v="30"/>
    <n v="20"/>
    <n v="10"/>
  </r>
  <r>
    <s v="ORD-0640"/>
    <s v="Saraann Bilbie"/>
    <x v="4"/>
    <s v="Hydrating Cleanser"/>
    <d v="2024-10-05T00:00:00"/>
    <d v="2024-10-18T00:00:00"/>
    <n v="3"/>
    <n v="4"/>
    <x v="0"/>
    <x v="1"/>
    <x v="2"/>
    <x v="0"/>
    <x v="7"/>
    <x v="0"/>
    <n v="13"/>
    <n v="12"/>
    <n v="6"/>
    <n v="6"/>
  </r>
  <r>
    <s v="ORD-0641"/>
    <s v="Falkner Frearson"/>
    <x v="1"/>
    <s v="Sunscreen SPF 50"/>
    <d v="2023-12-03T00:00:00"/>
    <d v="2023-12-17T00:00:00"/>
    <n v="4"/>
    <n v="5"/>
    <x v="0"/>
    <x v="0"/>
    <x v="2"/>
    <x v="1"/>
    <x v="8"/>
    <x v="1"/>
    <n v="14"/>
    <n v="20"/>
    <n v="11"/>
    <n v="9"/>
  </r>
  <r>
    <s v="ORD-0642"/>
    <s v="Meaghan Downey"/>
    <x v="1"/>
    <s v="Sunscreen SPF 30"/>
    <d v="2024-06-23T00:00:00"/>
    <d v="2024-06-28T00:00:00"/>
    <n v="2"/>
    <n v="4.75"/>
    <x v="1"/>
    <x v="4"/>
    <x v="2"/>
    <x v="0"/>
    <x v="4"/>
    <x v="1"/>
    <n v="5"/>
    <n v="9.5"/>
    <n v="5"/>
    <n v="4.5"/>
  </r>
  <r>
    <s v="ORD-0643"/>
    <s v="Donni Pearmain"/>
    <x v="1"/>
    <s v="Matte Sunscreen"/>
    <d v="2023-08-05T00:00:00"/>
    <d v="2023-08-06T00:00:00"/>
    <n v="1"/>
    <n v="5.25"/>
    <x v="0"/>
    <x v="1"/>
    <x v="1"/>
    <x v="1"/>
    <x v="5"/>
    <x v="0"/>
    <n v="1"/>
    <n v="5.25"/>
    <n v="3"/>
    <n v="2.25"/>
  </r>
  <r>
    <s v="ORD-0644"/>
    <s v="Bobina Laxon"/>
    <x v="2"/>
    <s v="Retinol Serum"/>
    <d v="2024-05-04T00:00:00"/>
    <d v="2024-05-06T00:00:00"/>
    <n v="4"/>
    <n v="10"/>
    <x v="1"/>
    <x v="0"/>
    <x v="2"/>
    <x v="0"/>
    <x v="9"/>
    <x v="0"/>
    <n v="2"/>
    <n v="40"/>
    <n v="26"/>
    <n v="14"/>
  </r>
  <r>
    <s v="ORD-0645"/>
    <s v="Dorotea Howley"/>
    <x v="0"/>
    <s v="Daily Moisturizer"/>
    <d v="2023-08-30T00:00:00"/>
    <d v="2023-09-02T00:00:00"/>
    <n v="1"/>
    <n v="5.5"/>
    <x v="0"/>
    <x v="1"/>
    <x v="2"/>
    <x v="1"/>
    <x v="5"/>
    <x v="4"/>
    <n v="3"/>
    <n v="5.5"/>
    <n v="3"/>
    <n v="2.5"/>
  </r>
  <r>
    <s v="ORD-0646"/>
    <s v="Ester Petkov"/>
    <x v="3"/>
    <s v="Hydrating Toner"/>
    <d v="2024-02-17T00:00:00"/>
    <d v="2024-02-29T00:00:00"/>
    <n v="3"/>
    <n v="4.25"/>
    <x v="0"/>
    <x v="0"/>
    <x v="1"/>
    <x v="0"/>
    <x v="3"/>
    <x v="0"/>
    <n v="12"/>
    <n v="12.75"/>
    <n v="6"/>
    <n v="6.75"/>
  </r>
  <r>
    <s v="ORD-0647"/>
    <s v="Gratiana McDonell"/>
    <x v="4"/>
    <s v="Brightening Cleanser"/>
    <d v="2024-10-27T00:00:00"/>
    <d v="2024-10-31T00:00:00"/>
    <n v="4"/>
    <n v="3.75"/>
    <x v="0"/>
    <x v="5"/>
    <x v="2"/>
    <x v="0"/>
    <x v="7"/>
    <x v="1"/>
    <n v="4"/>
    <n v="15"/>
    <n v="8"/>
    <n v="7"/>
  </r>
  <r>
    <s v="ORD-0648"/>
    <s v="Peg Cossins"/>
    <x v="2"/>
    <s v="Hyaluronic Acid Serum"/>
    <d v="2023-10-15T00:00:00"/>
    <d v="2023-10-16T00:00:00"/>
    <n v="5"/>
    <n v="8.75"/>
    <x v="0"/>
    <x v="4"/>
    <x v="1"/>
    <x v="1"/>
    <x v="7"/>
    <x v="1"/>
    <n v="1"/>
    <n v="43.75"/>
    <n v="25"/>
    <n v="18.75"/>
  </r>
  <r>
    <s v="ORD-0649"/>
    <s v="Bunny Lidbetter"/>
    <x v="4"/>
    <s v="Gentle Cleanser"/>
    <d v="2024-10-11T00:00:00"/>
    <d v="2024-10-12T00:00:00"/>
    <n v="3"/>
    <n v="3"/>
    <x v="0"/>
    <x v="0"/>
    <x v="0"/>
    <x v="0"/>
    <x v="7"/>
    <x v="6"/>
    <n v="1"/>
    <n v="9"/>
    <n v="4"/>
    <n v="5"/>
  </r>
  <r>
    <s v="ORD-0650"/>
    <s v="Kory Wadmore"/>
    <x v="0"/>
    <s v="Gel Moisturizer"/>
    <d v="2024-02-14T00:00:00"/>
    <d v="2024-02-15T00:00:00"/>
    <n v="5"/>
    <n v="5.75"/>
    <x v="0"/>
    <x v="0"/>
    <x v="1"/>
    <x v="0"/>
    <x v="3"/>
    <x v="4"/>
    <n v="1"/>
    <n v="28.75"/>
    <n v="14"/>
    <n v="14.75"/>
  </r>
  <r>
    <s v="ORD-0651"/>
    <s v="Opal Oliphard"/>
    <x v="1"/>
    <s v="Matte Sunscreen"/>
    <d v="2024-05-24T00:00:00"/>
    <d v="2024-05-25T00:00:00"/>
    <n v="3"/>
    <n v="5.25"/>
    <x v="0"/>
    <x v="2"/>
    <x v="0"/>
    <x v="0"/>
    <x v="9"/>
    <x v="6"/>
    <n v="1"/>
    <n v="15.75"/>
    <n v="9"/>
    <n v="6.75"/>
  </r>
  <r>
    <s v="ORD-0652"/>
    <s v="Dulciana Gilbertson"/>
    <x v="4"/>
    <s v="Hydrating Cleanser"/>
    <d v="2024-04-08T00:00:00"/>
    <d v="2024-04-12T00:00:00"/>
    <n v="4"/>
    <n v="4"/>
    <x v="0"/>
    <x v="0"/>
    <x v="2"/>
    <x v="0"/>
    <x v="6"/>
    <x v="2"/>
    <n v="4"/>
    <n v="16"/>
    <n v="8"/>
    <n v="8"/>
  </r>
  <r>
    <s v="ORD-0653"/>
    <s v="Lula Brankley"/>
    <x v="0"/>
    <s v="Night Cream"/>
    <d v="2024-02-02T00:00:00"/>
    <d v="2024-02-05T00:00:00"/>
    <n v="5"/>
    <n v="6.5"/>
    <x v="0"/>
    <x v="0"/>
    <x v="1"/>
    <x v="0"/>
    <x v="3"/>
    <x v="6"/>
    <n v="3"/>
    <n v="32.5"/>
    <n v="19"/>
    <n v="13.5"/>
  </r>
  <r>
    <s v="ORD-0654"/>
    <s v="Karalynn Coverley"/>
    <x v="3"/>
    <s v="Hydrating Toner"/>
    <d v="2023-12-17T00:00:00"/>
    <d v="2023-12-20T00:00:00"/>
    <n v="1"/>
    <n v="4.25"/>
    <x v="0"/>
    <x v="2"/>
    <x v="0"/>
    <x v="1"/>
    <x v="8"/>
    <x v="1"/>
    <n v="3"/>
    <n v="4.25"/>
    <n v="2"/>
    <n v="2.25"/>
  </r>
  <r>
    <s v="ORD-0655"/>
    <s v="Dagny Girkin"/>
    <x v="1"/>
    <s v="Matte Sunscreen"/>
    <d v="2023-07-08T00:00:00"/>
    <d v="2023-07-13T00:00:00"/>
    <n v="3"/>
    <n v="5.25"/>
    <x v="0"/>
    <x v="1"/>
    <x v="1"/>
    <x v="1"/>
    <x v="1"/>
    <x v="0"/>
    <n v="5"/>
    <n v="15.75"/>
    <n v="9"/>
    <n v="6.75"/>
  </r>
  <r>
    <s v="ORD-0656"/>
    <s v="Debra Wasson"/>
    <x v="2"/>
    <s v="Niacinamide Serum"/>
    <d v="2024-06-04T00:00:00"/>
    <d v="2024-06-11T00:00:00"/>
    <n v="3"/>
    <n v="8"/>
    <x v="0"/>
    <x v="1"/>
    <x v="0"/>
    <x v="0"/>
    <x v="4"/>
    <x v="3"/>
    <n v="7"/>
    <n v="24"/>
    <n v="14"/>
    <n v="10"/>
  </r>
  <r>
    <s v="ORD-0657"/>
    <s v="Lewes Vittle"/>
    <x v="1"/>
    <s v="Sunscreen SPF 50"/>
    <d v="2024-08-08T00:00:00"/>
    <d v="2024-08-15T00:00:00"/>
    <n v="3"/>
    <n v="5"/>
    <x v="1"/>
    <x v="0"/>
    <x v="2"/>
    <x v="0"/>
    <x v="5"/>
    <x v="5"/>
    <n v="7"/>
    <n v="15"/>
    <n v="8"/>
    <n v="7"/>
  </r>
  <r>
    <s v="ORD-0658"/>
    <s v="Gilda Stonelake"/>
    <x v="4"/>
    <s v="Gentle Cleanser"/>
    <d v="2024-01-26T00:00:00"/>
    <d v="2024-02-01T00:00:00"/>
    <n v="3"/>
    <n v="3"/>
    <x v="0"/>
    <x v="5"/>
    <x v="2"/>
    <x v="0"/>
    <x v="11"/>
    <x v="6"/>
    <n v="6"/>
    <n v="9"/>
    <n v="4"/>
    <n v="5"/>
  </r>
  <r>
    <s v="ORD-0659"/>
    <s v="Jarrod Ferronier"/>
    <x v="2"/>
    <s v="Retinol Serum"/>
    <d v="2024-07-03T00:00:00"/>
    <d v="2024-07-05T00:00:00"/>
    <n v="3"/>
    <n v="10"/>
    <x v="0"/>
    <x v="5"/>
    <x v="0"/>
    <x v="0"/>
    <x v="1"/>
    <x v="4"/>
    <n v="2"/>
    <n v="30"/>
    <n v="20"/>
    <n v="10"/>
  </r>
  <r>
    <s v="ORD-0660"/>
    <s v="Hasheem Waghorn"/>
    <x v="4"/>
    <s v="Acne Cleanser"/>
    <d v="2023-07-27T00:00:00"/>
    <d v="2023-08-03T00:00:00"/>
    <n v="5"/>
    <n v="3.5"/>
    <x v="0"/>
    <x v="1"/>
    <x v="2"/>
    <x v="1"/>
    <x v="1"/>
    <x v="5"/>
    <n v="7"/>
    <n v="17.5"/>
    <n v="8"/>
    <n v="9.5"/>
  </r>
  <r>
    <s v="ORD-0661"/>
    <s v="Salome Snyder"/>
    <x v="2"/>
    <s v="Vitamin C Serum"/>
    <d v="2024-09-06T00:00:00"/>
    <d v="2024-09-08T00:00:00"/>
    <n v="5"/>
    <n v="8.5"/>
    <x v="0"/>
    <x v="0"/>
    <x v="2"/>
    <x v="0"/>
    <x v="10"/>
    <x v="6"/>
    <n v="2"/>
    <n v="42.5"/>
    <n v="26"/>
    <n v="16.5"/>
  </r>
  <r>
    <s v="ORD-0662"/>
    <s v="Nikkie Freak"/>
    <x v="4"/>
    <s v="Hydrating Cleanser"/>
    <d v="2024-07-12T00:00:00"/>
    <d v="2024-07-15T00:00:00"/>
    <n v="1"/>
    <n v="4"/>
    <x v="1"/>
    <x v="0"/>
    <x v="1"/>
    <x v="0"/>
    <x v="1"/>
    <x v="6"/>
    <n v="3"/>
    <n v="4"/>
    <n v="2"/>
    <n v="2"/>
  </r>
  <r>
    <s v="ORD-0663"/>
    <s v="Caprice Carhart"/>
    <x v="3"/>
    <s v="Brightening Toner"/>
    <d v="2024-06-08T00:00:00"/>
    <d v="2024-06-15T00:00:00"/>
    <n v="3"/>
    <n v="4.5"/>
    <x v="0"/>
    <x v="4"/>
    <x v="1"/>
    <x v="0"/>
    <x v="4"/>
    <x v="0"/>
    <n v="7"/>
    <n v="13.5"/>
    <n v="7"/>
    <n v="6.5"/>
  </r>
  <r>
    <s v="ORD-0664"/>
    <s v="Sigfrid Matushenko"/>
    <x v="0"/>
    <s v="Night Cream"/>
    <d v="2023-11-18T00:00:00"/>
    <d v="2023-11-21T00:00:00"/>
    <n v="1"/>
    <n v="6.5"/>
    <x v="0"/>
    <x v="0"/>
    <x v="0"/>
    <x v="1"/>
    <x v="2"/>
    <x v="0"/>
    <n v="3"/>
    <n v="6.5"/>
    <n v="4"/>
    <n v="2.5"/>
  </r>
  <r>
    <s v="ORD-0665"/>
    <s v="Demetrius Cassius"/>
    <x v="4"/>
    <s v="Acne Cleanser"/>
    <d v="2024-06-13T00:00:00"/>
    <d v="2024-06-14T00:00:00"/>
    <n v="3"/>
    <n v="3.5"/>
    <x v="0"/>
    <x v="2"/>
    <x v="2"/>
    <x v="0"/>
    <x v="4"/>
    <x v="5"/>
    <n v="1"/>
    <n v="10.5"/>
    <n v="5"/>
    <n v="5.5"/>
  </r>
  <r>
    <s v="ORD-0666"/>
    <s v="Gerhardine Micheu"/>
    <x v="4"/>
    <s v="Gentle Cleanser"/>
    <d v="2023-12-10T00:00:00"/>
    <d v="2023-12-16T00:00:00"/>
    <n v="3"/>
    <n v="3"/>
    <x v="0"/>
    <x v="0"/>
    <x v="2"/>
    <x v="1"/>
    <x v="8"/>
    <x v="1"/>
    <n v="6"/>
    <n v="9"/>
    <n v="4"/>
    <n v="5"/>
  </r>
  <r>
    <s v="ORD-0667"/>
    <s v="Livvyy Stollwerk"/>
    <x v="4"/>
    <s v="Gentle Cleanser"/>
    <d v="2024-05-29T00:00:00"/>
    <d v="2024-05-31T00:00:00"/>
    <n v="5"/>
    <n v="3"/>
    <x v="0"/>
    <x v="0"/>
    <x v="2"/>
    <x v="0"/>
    <x v="9"/>
    <x v="4"/>
    <n v="2"/>
    <n v="15"/>
    <n v="7"/>
    <n v="8"/>
  </r>
  <r>
    <s v="ORD-0668"/>
    <s v="Ara MacMurray"/>
    <x v="0"/>
    <s v="Gel Moisturizer"/>
    <d v="2024-05-15T00:00:00"/>
    <d v="2024-05-24T00:00:00"/>
    <n v="4"/>
    <n v="5.75"/>
    <x v="0"/>
    <x v="0"/>
    <x v="2"/>
    <x v="0"/>
    <x v="9"/>
    <x v="4"/>
    <n v="9"/>
    <n v="23"/>
    <n v="12"/>
    <n v="11"/>
  </r>
  <r>
    <s v="ORD-0669"/>
    <s v="Arline Mollin"/>
    <x v="4"/>
    <s v="Acne Cleanser"/>
    <d v="2024-03-28T00:00:00"/>
    <d v="2024-04-01T00:00:00"/>
    <n v="4"/>
    <n v="3.5"/>
    <x v="0"/>
    <x v="0"/>
    <x v="1"/>
    <x v="0"/>
    <x v="0"/>
    <x v="5"/>
    <n v="4"/>
    <n v="14"/>
    <n v="7"/>
    <n v="7"/>
  </r>
  <r>
    <s v="ORD-0670"/>
    <s v="Neal Ferrero"/>
    <x v="4"/>
    <s v="Brightening Cleanser"/>
    <d v="2024-07-17T00:00:00"/>
    <d v="2024-07-18T00:00:00"/>
    <n v="1"/>
    <n v="3.75"/>
    <x v="0"/>
    <x v="0"/>
    <x v="1"/>
    <x v="0"/>
    <x v="1"/>
    <x v="4"/>
    <n v="1"/>
    <n v="3.75"/>
    <n v="2"/>
    <n v="1.75"/>
  </r>
  <r>
    <s v="ORD-0671"/>
    <s v="Violante Chantrell"/>
    <x v="1"/>
    <s v="Matte Sunscreen"/>
    <d v="2024-07-23T00:00:00"/>
    <d v="2024-07-26T00:00:00"/>
    <n v="4"/>
    <n v="5.25"/>
    <x v="0"/>
    <x v="1"/>
    <x v="0"/>
    <x v="0"/>
    <x v="1"/>
    <x v="3"/>
    <n v="3"/>
    <n v="21"/>
    <n v="12"/>
    <n v="9"/>
  </r>
  <r>
    <s v="ORD-0672"/>
    <s v="Grenville Teek"/>
    <x v="0"/>
    <s v="Repair Cream"/>
    <d v="2024-03-24T00:00:00"/>
    <d v="2024-03-27T00:00:00"/>
    <n v="2"/>
    <n v="6.25"/>
    <x v="0"/>
    <x v="3"/>
    <x v="1"/>
    <x v="0"/>
    <x v="0"/>
    <x v="1"/>
    <n v="3"/>
    <n v="12.5"/>
    <n v="7"/>
    <n v="5.5"/>
  </r>
  <r>
    <s v="ORD-0673"/>
    <s v="Allyn Robatham"/>
    <x v="1"/>
    <s v="Sunscreen SPF 50"/>
    <d v="2024-06-06T00:00:00"/>
    <d v="2024-06-07T00:00:00"/>
    <n v="2"/>
    <n v="5"/>
    <x v="0"/>
    <x v="1"/>
    <x v="1"/>
    <x v="0"/>
    <x v="4"/>
    <x v="5"/>
    <n v="1"/>
    <n v="10"/>
    <n v="6"/>
    <n v="4"/>
  </r>
  <r>
    <s v="ORD-0674"/>
    <s v="Thayne Sparke"/>
    <x v="4"/>
    <s v="Gentle Cleanser"/>
    <d v="2024-09-21T00:00:00"/>
    <d v="2024-09-24T00:00:00"/>
    <n v="2"/>
    <n v="3"/>
    <x v="0"/>
    <x v="0"/>
    <x v="2"/>
    <x v="0"/>
    <x v="10"/>
    <x v="0"/>
    <n v="3"/>
    <n v="6"/>
    <n v="3"/>
    <n v="3"/>
  </r>
  <r>
    <s v="ORD-0675"/>
    <s v="Dawna Mairs"/>
    <x v="4"/>
    <s v="Brightening Cleanser"/>
    <d v="2023-07-25T00:00:00"/>
    <d v="2023-07-28T00:00:00"/>
    <n v="5"/>
    <n v="3.75"/>
    <x v="1"/>
    <x v="5"/>
    <x v="2"/>
    <x v="1"/>
    <x v="1"/>
    <x v="3"/>
    <n v="3"/>
    <n v="18.75"/>
    <n v="9"/>
    <n v="9.75"/>
  </r>
  <r>
    <s v="ORD-0676"/>
    <s v="Florry Haddleston"/>
    <x v="0"/>
    <s v="Night Cream"/>
    <d v="2024-10-21T00:00:00"/>
    <d v="2024-10-27T00:00:00"/>
    <n v="3"/>
    <n v="6.5"/>
    <x v="0"/>
    <x v="5"/>
    <x v="1"/>
    <x v="0"/>
    <x v="7"/>
    <x v="2"/>
    <n v="6"/>
    <n v="19.5"/>
    <n v="11"/>
    <n v="8.5"/>
  </r>
  <r>
    <s v="ORD-0677"/>
    <s v="Winnifred Hardin"/>
    <x v="1"/>
    <s v="Sunscreen SPF 30"/>
    <d v="2024-10-29T00:00:00"/>
    <d v="2024-11-05T00:00:00"/>
    <n v="2"/>
    <n v="4.75"/>
    <x v="0"/>
    <x v="0"/>
    <x v="1"/>
    <x v="0"/>
    <x v="7"/>
    <x v="3"/>
    <n v="7"/>
    <n v="9.5"/>
    <n v="5"/>
    <n v="4.5"/>
  </r>
  <r>
    <s v="ORD-0678"/>
    <s v="Rowen Towns"/>
    <x v="4"/>
    <s v="Acne Cleanser"/>
    <d v="2023-11-05T00:00:00"/>
    <d v="2023-11-07T00:00:00"/>
    <n v="5"/>
    <n v="3.5"/>
    <x v="0"/>
    <x v="1"/>
    <x v="2"/>
    <x v="1"/>
    <x v="2"/>
    <x v="1"/>
    <n v="2"/>
    <n v="17.5"/>
    <n v="8"/>
    <n v="9.5"/>
  </r>
  <r>
    <s v="ORD-0679"/>
    <s v="Samuel Reford"/>
    <x v="3"/>
    <s v="Soothing Toner"/>
    <d v="2024-03-07T00:00:00"/>
    <d v="2024-03-10T00:00:00"/>
    <n v="2"/>
    <n v="4.75"/>
    <x v="0"/>
    <x v="0"/>
    <x v="2"/>
    <x v="0"/>
    <x v="0"/>
    <x v="5"/>
    <n v="3"/>
    <n v="9.5"/>
    <n v="5"/>
    <n v="4.5"/>
  </r>
  <r>
    <s v="ORD-0680"/>
    <s v="Ricard Jimeno"/>
    <x v="3"/>
    <s v="Hydrating Toner"/>
    <d v="2023-10-05T00:00:00"/>
    <d v="2023-10-08T00:00:00"/>
    <n v="3"/>
    <n v="4.25"/>
    <x v="0"/>
    <x v="5"/>
    <x v="0"/>
    <x v="1"/>
    <x v="7"/>
    <x v="5"/>
    <n v="3"/>
    <n v="12.75"/>
    <n v="6"/>
    <n v="6.75"/>
  </r>
  <r>
    <s v="ORD-0681"/>
    <s v="Rriocard Wardall"/>
    <x v="3"/>
    <s v="Hydrating Toner"/>
    <d v="2024-07-24T00:00:00"/>
    <d v="2024-07-25T00:00:00"/>
    <n v="2"/>
    <n v="4.25"/>
    <x v="1"/>
    <x v="4"/>
    <x v="2"/>
    <x v="0"/>
    <x v="1"/>
    <x v="4"/>
    <n v="1"/>
    <n v="8.5"/>
    <n v="4"/>
    <n v="4.5"/>
  </r>
  <r>
    <s v="ORD-0682"/>
    <s v="Sibby Sorey"/>
    <x v="0"/>
    <s v="Night Cream"/>
    <d v="2023-07-03T00:00:00"/>
    <d v="2023-07-06T00:00:00"/>
    <n v="3"/>
    <n v="6.5"/>
    <x v="0"/>
    <x v="5"/>
    <x v="0"/>
    <x v="1"/>
    <x v="1"/>
    <x v="2"/>
    <n v="3"/>
    <n v="19.5"/>
    <n v="11"/>
    <n v="8.5"/>
  </r>
  <r>
    <s v="ORD-0683"/>
    <s v="Zora Dallan"/>
    <x v="1"/>
    <s v="Matte Sunscreen"/>
    <d v="2023-10-18T00:00:00"/>
    <d v="2023-10-22T00:00:00"/>
    <n v="5"/>
    <n v="5.25"/>
    <x v="0"/>
    <x v="0"/>
    <x v="1"/>
    <x v="1"/>
    <x v="7"/>
    <x v="4"/>
    <n v="4"/>
    <n v="26.25"/>
    <n v="15"/>
    <n v="11.25"/>
  </r>
  <r>
    <s v="ORD-0684"/>
    <s v="Linzy Pariss"/>
    <x v="4"/>
    <s v="Acne Cleanser"/>
    <d v="2024-09-07T00:00:00"/>
    <d v="2024-09-10T00:00:00"/>
    <n v="2"/>
    <n v="3.5"/>
    <x v="0"/>
    <x v="2"/>
    <x v="1"/>
    <x v="0"/>
    <x v="10"/>
    <x v="0"/>
    <n v="3"/>
    <n v="7"/>
    <n v="3"/>
    <n v="4"/>
  </r>
  <r>
    <s v="ORD-0685"/>
    <s v="Janifer Selby"/>
    <x v="4"/>
    <s v="Gentle Cleanser"/>
    <d v="2024-10-15T00:00:00"/>
    <d v="2024-10-21T00:00:00"/>
    <n v="3"/>
    <n v="3"/>
    <x v="0"/>
    <x v="5"/>
    <x v="2"/>
    <x v="0"/>
    <x v="7"/>
    <x v="3"/>
    <n v="6"/>
    <n v="9"/>
    <n v="4"/>
    <n v="5"/>
  </r>
  <r>
    <s v="ORD-0686"/>
    <s v="Baillie Chill"/>
    <x v="0"/>
    <s v="Night Cream"/>
    <d v="2024-08-22T00:00:00"/>
    <d v="2024-08-25T00:00:00"/>
    <n v="4"/>
    <n v="6.5"/>
    <x v="0"/>
    <x v="0"/>
    <x v="2"/>
    <x v="0"/>
    <x v="5"/>
    <x v="5"/>
    <n v="3"/>
    <n v="26"/>
    <n v="15"/>
    <n v="11"/>
  </r>
  <r>
    <s v="ORD-0687"/>
    <s v="Melisa Doodson"/>
    <x v="2"/>
    <s v="Vitamin C Serum"/>
    <d v="2024-05-29T00:00:00"/>
    <d v="2024-05-30T00:00:00"/>
    <n v="1"/>
    <n v="8.5"/>
    <x v="0"/>
    <x v="2"/>
    <x v="0"/>
    <x v="0"/>
    <x v="9"/>
    <x v="4"/>
    <n v="1"/>
    <n v="8.5"/>
    <n v="5"/>
    <n v="3.5"/>
  </r>
  <r>
    <s v="ORD-0688"/>
    <s v="Tobit Vannucci"/>
    <x v="3"/>
    <s v="Hydrating Toner"/>
    <d v="2023-09-28T00:00:00"/>
    <d v="2023-09-29T00:00:00"/>
    <n v="1"/>
    <n v="4.25"/>
    <x v="0"/>
    <x v="3"/>
    <x v="2"/>
    <x v="1"/>
    <x v="10"/>
    <x v="5"/>
    <n v="1"/>
    <n v="4.25"/>
    <n v="2"/>
    <n v="2.25"/>
  </r>
  <r>
    <s v="ORD-0689"/>
    <s v="Angie Aubrun"/>
    <x v="4"/>
    <s v="Brightening Cleanser"/>
    <d v="2024-04-15T00:00:00"/>
    <d v="2024-04-16T00:00:00"/>
    <n v="5"/>
    <n v="3.75"/>
    <x v="0"/>
    <x v="3"/>
    <x v="2"/>
    <x v="0"/>
    <x v="6"/>
    <x v="2"/>
    <n v="1"/>
    <n v="18.75"/>
    <n v="9"/>
    <n v="9.75"/>
  </r>
  <r>
    <s v="ORD-0690"/>
    <s v="Paula Annesley"/>
    <x v="4"/>
    <s v="Acne Cleanser"/>
    <d v="2023-10-18T00:00:00"/>
    <d v="2023-10-20T00:00:00"/>
    <n v="3"/>
    <n v="3.5"/>
    <x v="1"/>
    <x v="0"/>
    <x v="2"/>
    <x v="1"/>
    <x v="7"/>
    <x v="4"/>
    <n v="2"/>
    <n v="10.5"/>
    <n v="5"/>
    <n v="5.5"/>
  </r>
  <r>
    <s v="ORD-0691"/>
    <s v="Corella Yukhnov"/>
    <x v="2"/>
    <s v="Retinol Serum"/>
    <d v="2023-08-20T00:00:00"/>
    <d v="2023-08-21T00:00:00"/>
    <n v="1"/>
    <n v="10"/>
    <x v="1"/>
    <x v="2"/>
    <x v="2"/>
    <x v="1"/>
    <x v="5"/>
    <x v="1"/>
    <n v="1"/>
    <n v="10"/>
    <n v="7"/>
    <n v="3"/>
  </r>
  <r>
    <s v="ORD-0692"/>
    <s v="Avery Swinyard"/>
    <x v="2"/>
    <s v="Retinol Serum"/>
    <d v="2023-07-03T00:00:00"/>
    <d v="2023-07-06T00:00:00"/>
    <n v="4"/>
    <n v="10"/>
    <x v="0"/>
    <x v="2"/>
    <x v="0"/>
    <x v="1"/>
    <x v="1"/>
    <x v="2"/>
    <n v="3"/>
    <n v="40"/>
    <n v="26"/>
    <n v="14"/>
  </r>
  <r>
    <s v="ORD-0693"/>
    <s v="Ewell Offin"/>
    <x v="1"/>
    <s v="Sunscreen SPF 30"/>
    <d v="2024-05-14T00:00:00"/>
    <d v="2024-05-16T00:00:00"/>
    <n v="4"/>
    <n v="4.75"/>
    <x v="0"/>
    <x v="1"/>
    <x v="2"/>
    <x v="0"/>
    <x v="9"/>
    <x v="3"/>
    <n v="2"/>
    <n v="19"/>
    <n v="10"/>
    <n v="9"/>
  </r>
  <r>
    <s v="ORD-0694"/>
    <s v="Leoine Woodhouse"/>
    <x v="1"/>
    <s v="Sunscreen SPF 50"/>
    <d v="2024-09-01T00:00:00"/>
    <d v="2024-09-04T00:00:00"/>
    <n v="5"/>
    <n v="5"/>
    <x v="1"/>
    <x v="0"/>
    <x v="1"/>
    <x v="0"/>
    <x v="10"/>
    <x v="1"/>
    <n v="3"/>
    <n v="25"/>
    <n v="14"/>
    <n v="11"/>
  </r>
  <r>
    <s v="ORD-0695"/>
    <s v="Heida Cluderay"/>
    <x v="4"/>
    <s v="Hydrating Cleanser"/>
    <d v="2024-06-27T00:00:00"/>
    <d v="2024-06-28T00:00:00"/>
    <n v="3"/>
    <n v="4"/>
    <x v="0"/>
    <x v="4"/>
    <x v="1"/>
    <x v="0"/>
    <x v="4"/>
    <x v="5"/>
    <n v="1"/>
    <n v="12"/>
    <n v="6"/>
    <n v="6"/>
  </r>
  <r>
    <s v="ORD-0696"/>
    <s v="Mady Muckle"/>
    <x v="0"/>
    <s v="Gel Moisturizer"/>
    <d v="2024-04-30T00:00:00"/>
    <d v="2024-05-11T00:00:00"/>
    <n v="1"/>
    <n v="5.75"/>
    <x v="0"/>
    <x v="5"/>
    <x v="2"/>
    <x v="0"/>
    <x v="6"/>
    <x v="3"/>
    <n v="11"/>
    <n v="5.75"/>
    <n v="3"/>
    <n v="2.75"/>
  </r>
  <r>
    <s v="ORD-0697"/>
    <s v="Vaughn McGairl"/>
    <x v="0"/>
    <s v="Repair Cream"/>
    <d v="2024-09-14T00:00:00"/>
    <d v="2024-09-15T00:00:00"/>
    <n v="5"/>
    <n v="6.25"/>
    <x v="0"/>
    <x v="2"/>
    <x v="2"/>
    <x v="0"/>
    <x v="10"/>
    <x v="0"/>
    <n v="1"/>
    <n v="31.25"/>
    <n v="17"/>
    <n v="14.25"/>
  </r>
  <r>
    <s v="ORD-0698"/>
    <s v="Wendell Gritskov"/>
    <x v="4"/>
    <s v="Acne Cleanser"/>
    <d v="2024-03-25T00:00:00"/>
    <d v="2024-03-30T00:00:00"/>
    <n v="5"/>
    <n v="3.5"/>
    <x v="1"/>
    <x v="0"/>
    <x v="2"/>
    <x v="0"/>
    <x v="0"/>
    <x v="2"/>
    <n v="5"/>
    <n v="17.5"/>
    <n v="8"/>
    <n v="9.5"/>
  </r>
  <r>
    <s v="ORD-0699"/>
    <s v="Finn Zavattari"/>
    <x v="0"/>
    <s v="Repair Cream"/>
    <d v="2024-05-08T00:00:00"/>
    <d v="2024-05-09T00:00:00"/>
    <n v="4"/>
    <n v="6.25"/>
    <x v="0"/>
    <x v="1"/>
    <x v="1"/>
    <x v="0"/>
    <x v="9"/>
    <x v="4"/>
    <n v="1"/>
    <n v="25"/>
    <n v="14"/>
    <n v="11"/>
  </r>
  <r>
    <s v="ORD-0700"/>
    <s v="Dale Myers"/>
    <x v="2"/>
    <s v="Retinol Serum"/>
    <d v="2023-10-29T00:00:00"/>
    <d v="2023-11-01T00:00:00"/>
    <n v="5"/>
    <n v="10"/>
    <x v="0"/>
    <x v="0"/>
    <x v="1"/>
    <x v="1"/>
    <x v="7"/>
    <x v="1"/>
    <n v="3"/>
    <n v="50"/>
    <n v="33"/>
    <n v="17"/>
  </r>
  <r>
    <s v="ORD-0701"/>
    <s v="Joye Kingstne"/>
    <x v="1"/>
    <s v="Matte Sunscreen"/>
    <d v="2024-02-05T00:00:00"/>
    <d v="2024-02-07T00:00:00"/>
    <n v="4"/>
    <n v="5.25"/>
    <x v="1"/>
    <x v="0"/>
    <x v="2"/>
    <x v="0"/>
    <x v="3"/>
    <x v="2"/>
    <n v="2"/>
    <n v="21"/>
    <n v="12"/>
    <n v="9"/>
  </r>
  <r>
    <s v="ORD-0702"/>
    <s v="Karalee O'Connolly"/>
    <x v="4"/>
    <s v="Brightening Cleanser"/>
    <d v="2023-12-02T00:00:00"/>
    <d v="2023-12-07T00:00:00"/>
    <n v="1"/>
    <n v="3.75"/>
    <x v="0"/>
    <x v="2"/>
    <x v="0"/>
    <x v="1"/>
    <x v="8"/>
    <x v="0"/>
    <n v="5"/>
    <n v="3.75"/>
    <n v="2"/>
    <n v="1.75"/>
  </r>
  <r>
    <s v="ORD-0703"/>
    <s v="Ursa Scotchbourouge"/>
    <x v="4"/>
    <s v="Gentle Cleanser"/>
    <d v="2024-02-20T00:00:00"/>
    <d v="2024-02-25T00:00:00"/>
    <n v="1"/>
    <n v="3"/>
    <x v="0"/>
    <x v="0"/>
    <x v="1"/>
    <x v="0"/>
    <x v="3"/>
    <x v="3"/>
    <n v="5"/>
    <n v="3"/>
    <n v="1"/>
    <n v="2"/>
  </r>
  <r>
    <s v="ORD-0704"/>
    <s v="Jereme Filkov"/>
    <x v="2"/>
    <s v="Vitamin C Serum"/>
    <d v="2024-01-16T00:00:00"/>
    <d v="2024-01-19T00:00:00"/>
    <n v="2"/>
    <n v="8.5"/>
    <x v="1"/>
    <x v="2"/>
    <x v="2"/>
    <x v="0"/>
    <x v="11"/>
    <x v="3"/>
    <n v="3"/>
    <n v="17"/>
    <n v="10"/>
    <n v="7"/>
  </r>
  <r>
    <s v="ORD-0705"/>
    <s v="Brendon Cristoforo"/>
    <x v="1"/>
    <s v="Matte Sunscreen"/>
    <d v="2024-06-09T00:00:00"/>
    <d v="2024-06-11T00:00:00"/>
    <n v="4"/>
    <n v="5.25"/>
    <x v="0"/>
    <x v="1"/>
    <x v="0"/>
    <x v="0"/>
    <x v="4"/>
    <x v="1"/>
    <n v="2"/>
    <n v="21"/>
    <n v="12"/>
    <n v="9"/>
  </r>
  <r>
    <s v="ORD-0706"/>
    <s v="Julianna Whellans"/>
    <x v="2"/>
    <s v="Retinol Serum"/>
    <d v="2023-08-18T00:00:00"/>
    <d v="2023-08-28T00:00:00"/>
    <n v="2"/>
    <n v="10"/>
    <x v="0"/>
    <x v="1"/>
    <x v="1"/>
    <x v="1"/>
    <x v="5"/>
    <x v="6"/>
    <n v="10"/>
    <n v="20"/>
    <n v="13"/>
    <n v="7"/>
  </r>
  <r>
    <s v="ORD-0707"/>
    <s v="Parker Deeley"/>
    <x v="4"/>
    <s v="Brightening Cleanser"/>
    <d v="2024-07-25T00:00:00"/>
    <d v="2024-08-06T00:00:00"/>
    <n v="5"/>
    <n v="3.75"/>
    <x v="0"/>
    <x v="0"/>
    <x v="1"/>
    <x v="0"/>
    <x v="1"/>
    <x v="5"/>
    <n v="12"/>
    <n v="18.75"/>
    <n v="9"/>
    <n v="9.75"/>
  </r>
  <r>
    <s v="ORD-0708"/>
    <s v="Abdel Stainton"/>
    <x v="0"/>
    <s v="Daily Moisturizer"/>
    <d v="2024-08-23T00:00:00"/>
    <d v="2024-08-25T00:00:00"/>
    <n v="4"/>
    <n v="5.5"/>
    <x v="0"/>
    <x v="0"/>
    <x v="1"/>
    <x v="0"/>
    <x v="5"/>
    <x v="6"/>
    <n v="2"/>
    <n v="22"/>
    <n v="11"/>
    <n v="11"/>
  </r>
  <r>
    <s v="ORD-0709"/>
    <s v="Amelita Abdon"/>
    <x v="2"/>
    <s v="Vitamin C Serum"/>
    <d v="2023-12-29T00:00:00"/>
    <d v="2023-12-30T00:00:00"/>
    <n v="4"/>
    <n v="8.5"/>
    <x v="0"/>
    <x v="0"/>
    <x v="2"/>
    <x v="1"/>
    <x v="8"/>
    <x v="6"/>
    <n v="1"/>
    <n v="34"/>
    <n v="20"/>
    <n v="14"/>
  </r>
  <r>
    <s v="ORD-0710"/>
    <s v="Johannes Beamiss"/>
    <x v="0"/>
    <s v="Daily Moisturizer"/>
    <d v="2023-12-24T00:00:00"/>
    <d v="2023-12-26T00:00:00"/>
    <n v="5"/>
    <n v="5.5"/>
    <x v="0"/>
    <x v="1"/>
    <x v="2"/>
    <x v="1"/>
    <x v="8"/>
    <x v="1"/>
    <n v="2"/>
    <n v="27.5"/>
    <n v="14"/>
    <n v="13.5"/>
  </r>
  <r>
    <s v="ORD-0711"/>
    <s v="Arne Abbey"/>
    <x v="4"/>
    <s v="Gentle Cleanser"/>
    <d v="2023-07-30T00:00:00"/>
    <d v="2023-08-01T00:00:00"/>
    <n v="3"/>
    <n v="3"/>
    <x v="0"/>
    <x v="0"/>
    <x v="1"/>
    <x v="1"/>
    <x v="1"/>
    <x v="1"/>
    <n v="2"/>
    <n v="9"/>
    <n v="4"/>
    <n v="5"/>
  </r>
  <r>
    <s v="ORD-0712"/>
    <s v="Waylen Renvoys"/>
    <x v="2"/>
    <s v="Retinol Serum"/>
    <d v="2023-10-28T00:00:00"/>
    <d v="2023-10-31T00:00:00"/>
    <n v="5"/>
    <n v="10"/>
    <x v="0"/>
    <x v="3"/>
    <x v="2"/>
    <x v="1"/>
    <x v="7"/>
    <x v="0"/>
    <n v="3"/>
    <n v="50"/>
    <n v="33"/>
    <n v="17"/>
  </r>
  <r>
    <s v="ORD-0713"/>
    <s v="Doria Scates"/>
    <x v="4"/>
    <s v="Brightening Cleanser"/>
    <d v="2024-08-19T00:00:00"/>
    <d v="2024-08-24T00:00:00"/>
    <n v="3"/>
    <n v="3.75"/>
    <x v="0"/>
    <x v="0"/>
    <x v="2"/>
    <x v="0"/>
    <x v="5"/>
    <x v="2"/>
    <n v="5"/>
    <n v="11.25"/>
    <n v="6"/>
    <n v="5.25"/>
  </r>
  <r>
    <s v="ORD-0714"/>
    <s v="Francis Ozelton"/>
    <x v="3"/>
    <s v="Brightening Toner"/>
    <d v="2023-11-10T00:00:00"/>
    <d v="2023-11-11T00:00:00"/>
    <n v="4"/>
    <n v="4.5"/>
    <x v="0"/>
    <x v="3"/>
    <x v="2"/>
    <x v="1"/>
    <x v="2"/>
    <x v="6"/>
    <n v="1"/>
    <n v="18"/>
    <n v="9"/>
    <n v="9"/>
  </r>
  <r>
    <s v="ORD-0715"/>
    <s v="Kaleb Yallowley"/>
    <x v="0"/>
    <s v="Daily Moisturizer"/>
    <d v="2024-09-29T00:00:00"/>
    <d v="2024-09-30T00:00:00"/>
    <n v="3"/>
    <n v="5.5"/>
    <x v="0"/>
    <x v="0"/>
    <x v="1"/>
    <x v="0"/>
    <x v="10"/>
    <x v="1"/>
    <n v="1"/>
    <n v="16.5"/>
    <n v="9"/>
    <n v="7.5"/>
  </r>
  <r>
    <s v="ORD-0716"/>
    <s v="Matilda Aspinal"/>
    <x v="4"/>
    <s v="Gentle Cleanser"/>
    <d v="2023-12-23T00:00:00"/>
    <d v="2023-12-29T00:00:00"/>
    <n v="2"/>
    <n v="3"/>
    <x v="0"/>
    <x v="2"/>
    <x v="2"/>
    <x v="1"/>
    <x v="8"/>
    <x v="0"/>
    <n v="6"/>
    <n v="6"/>
    <n v="3"/>
    <n v="3"/>
  </r>
  <r>
    <s v="ORD-0717"/>
    <s v="Chris Sommerfeld"/>
    <x v="2"/>
    <s v="Vitamin C Serum"/>
    <d v="2023-11-18T00:00:00"/>
    <d v="2023-11-19T00:00:00"/>
    <n v="4"/>
    <n v="8.5"/>
    <x v="0"/>
    <x v="4"/>
    <x v="2"/>
    <x v="1"/>
    <x v="2"/>
    <x v="0"/>
    <n v="1"/>
    <n v="34"/>
    <n v="20"/>
    <n v="14"/>
  </r>
  <r>
    <s v="ORD-0718"/>
    <s v="Blane Ourry"/>
    <x v="2"/>
    <s v="Hyaluronic Acid Serum"/>
    <d v="2024-09-29T00:00:00"/>
    <d v="2024-10-05T00:00:00"/>
    <n v="1"/>
    <n v="8.75"/>
    <x v="0"/>
    <x v="2"/>
    <x v="1"/>
    <x v="0"/>
    <x v="10"/>
    <x v="1"/>
    <n v="6"/>
    <n v="8.75"/>
    <n v="5"/>
    <n v="3.75"/>
  </r>
  <r>
    <s v="ORD-0719"/>
    <s v="Maison Brevitt"/>
    <x v="4"/>
    <s v="Gentle Cleanser"/>
    <d v="2024-07-22T00:00:00"/>
    <d v="2024-07-26T00:00:00"/>
    <n v="3"/>
    <n v="3"/>
    <x v="0"/>
    <x v="5"/>
    <x v="0"/>
    <x v="0"/>
    <x v="1"/>
    <x v="2"/>
    <n v="4"/>
    <n v="9"/>
    <n v="4"/>
    <n v="5"/>
  </r>
  <r>
    <s v="ORD-0720"/>
    <s v="Aretha Crampton"/>
    <x v="0"/>
    <s v="Daily Moisturizer"/>
    <d v="2024-10-11T00:00:00"/>
    <d v="2024-10-18T00:00:00"/>
    <n v="2"/>
    <n v="5.5"/>
    <x v="0"/>
    <x v="0"/>
    <x v="2"/>
    <x v="0"/>
    <x v="7"/>
    <x v="6"/>
    <n v="7"/>
    <n v="11"/>
    <n v="6"/>
    <n v="5"/>
  </r>
  <r>
    <s v="ORD-0721"/>
    <s v="Boyce Kinkaid"/>
    <x v="1"/>
    <s v="Sensitive Sunscreen"/>
    <d v="2024-01-21T00:00:00"/>
    <d v="2024-01-22T00:00:00"/>
    <n v="5"/>
    <n v="5.5"/>
    <x v="0"/>
    <x v="5"/>
    <x v="0"/>
    <x v="0"/>
    <x v="11"/>
    <x v="1"/>
    <n v="1"/>
    <n v="27.5"/>
    <n v="17"/>
    <n v="10.5"/>
  </r>
  <r>
    <s v="ORD-0722"/>
    <s v="Maurice Tiptaft"/>
    <x v="4"/>
    <s v="Hydrating Cleanser"/>
    <d v="2024-01-25T00:00:00"/>
    <d v="2024-01-29T00:00:00"/>
    <n v="1"/>
    <n v="4"/>
    <x v="0"/>
    <x v="0"/>
    <x v="1"/>
    <x v="0"/>
    <x v="11"/>
    <x v="5"/>
    <n v="4"/>
    <n v="4"/>
    <n v="2"/>
    <n v="2"/>
  </r>
  <r>
    <s v="ORD-0723"/>
    <s v="Brenda Parcells"/>
    <x v="4"/>
    <s v="Acne Cleanser"/>
    <d v="2024-02-28T00:00:00"/>
    <d v="2024-03-01T00:00:00"/>
    <n v="4"/>
    <n v="3.5"/>
    <x v="0"/>
    <x v="0"/>
    <x v="1"/>
    <x v="0"/>
    <x v="3"/>
    <x v="4"/>
    <n v="2"/>
    <n v="14"/>
    <n v="7"/>
    <n v="7"/>
  </r>
  <r>
    <s v="ORD-0724"/>
    <s v="Farrel Smieton"/>
    <x v="3"/>
    <s v="Soothing Toner"/>
    <d v="2024-08-14T00:00:00"/>
    <d v="2024-08-15T00:00:00"/>
    <n v="5"/>
    <n v="4.75"/>
    <x v="0"/>
    <x v="2"/>
    <x v="1"/>
    <x v="0"/>
    <x v="5"/>
    <x v="4"/>
    <n v="1"/>
    <n v="23.75"/>
    <n v="13"/>
    <n v="10.75"/>
  </r>
  <r>
    <s v="ORD-0725"/>
    <s v="Cale Conigsby"/>
    <x v="0"/>
    <s v="Daily Moisturizer"/>
    <d v="2024-10-10T00:00:00"/>
    <d v="2024-10-16T00:00:00"/>
    <n v="4"/>
    <n v="5.5"/>
    <x v="0"/>
    <x v="0"/>
    <x v="1"/>
    <x v="0"/>
    <x v="7"/>
    <x v="5"/>
    <n v="6"/>
    <n v="22"/>
    <n v="11"/>
    <n v="11"/>
  </r>
  <r>
    <s v="ORD-0726"/>
    <s v="Giusto Cavill"/>
    <x v="3"/>
    <s v="Hydrating Toner"/>
    <d v="2024-08-01T00:00:00"/>
    <d v="2024-08-03T00:00:00"/>
    <n v="5"/>
    <n v="4.25"/>
    <x v="0"/>
    <x v="1"/>
    <x v="2"/>
    <x v="0"/>
    <x v="5"/>
    <x v="5"/>
    <n v="2"/>
    <n v="21.25"/>
    <n v="10"/>
    <n v="11.25"/>
  </r>
  <r>
    <s v="ORD-0727"/>
    <s v="Iorgos Gealle"/>
    <x v="2"/>
    <s v="Retinol Serum"/>
    <d v="2024-09-09T00:00:00"/>
    <d v="2024-09-11T00:00:00"/>
    <n v="5"/>
    <n v="10"/>
    <x v="0"/>
    <x v="1"/>
    <x v="1"/>
    <x v="0"/>
    <x v="10"/>
    <x v="2"/>
    <n v="2"/>
    <n v="50"/>
    <n v="33"/>
    <n v="17"/>
  </r>
  <r>
    <s v="ORD-0728"/>
    <s v="Iago Scotchmoor"/>
    <x v="3"/>
    <s v="Hydrating Toner"/>
    <d v="2024-06-17T00:00:00"/>
    <d v="2024-06-18T00:00:00"/>
    <n v="1"/>
    <n v="4.25"/>
    <x v="0"/>
    <x v="0"/>
    <x v="0"/>
    <x v="0"/>
    <x v="4"/>
    <x v="2"/>
    <n v="1"/>
    <n v="4.25"/>
    <n v="2"/>
    <n v="2.25"/>
  </r>
  <r>
    <s v="ORD-0729"/>
    <s v="Melody Coggon"/>
    <x v="1"/>
    <s v="Sensitive Sunscreen"/>
    <d v="2024-03-07T00:00:00"/>
    <d v="2024-03-10T00:00:00"/>
    <n v="3"/>
    <n v="5.5"/>
    <x v="0"/>
    <x v="1"/>
    <x v="1"/>
    <x v="0"/>
    <x v="0"/>
    <x v="5"/>
    <n v="3"/>
    <n v="16.5"/>
    <n v="10"/>
    <n v="6.5"/>
  </r>
  <r>
    <s v="ORD-0730"/>
    <s v="Josi Dillingston"/>
    <x v="1"/>
    <s v="Sunscreen SPF 30"/>
    <d v="2023-09-26T00:00:00"/>
    <d v="2023-10-05T00:00:00"/>
    <n v="4"/>
    <n v="4.75"/>
    <x v="0"/>
    <x v="2"/>
    <x v="1"/>
    <x v="1"/>
    <x v="10"/>
    <x v="3"/>
    <n v="9"/>
    <n v="19"/>
    <n v="10"/>
    <n v="9"/>
  </r>
  <r>
    <s v="ORD-0731"/>
    <s v="Evania Harris"/>
    <x v="0"/>
    <s v="Daily Moisturizer"/>
    <d v="2023-12-05T00:00:00"/>
    <d v="2023-12-08T00:00:00"/>
    <n v="3"/>
    <n v="5.5"/>
    <x v="0"/>
    <x v="0"/>
    <x v="0"/>
    <x v="1"/>
    <x v="8"/>
    <x v="3"/>
    <n v="3"/>
    <n v="16.5"/>
    <n v="9"/>
    <n v="7.5"/>
  </r>
  <r>
    <s v="ORD-0732"/>
    <s v="Brok Grote"/>
    <x v="3"/>
    <s v="Brightening Toner"/>
    <d v="2024-03-23T00:00:00"/>
    <d v="2024-04-03T00:00:00"/>
    <n v="5"/>
    <n v="4.5"/>
    <x v="0"/>
    <x v="1"/>
    <x v="1"/>
    <x v="0"/>
    <x v="0"/>
    <x v="0"/>
    <n v="11"/>
    <n v="22.5"/>
    <n v="12"/>
    <n v="10.5"/>
  </r>
  <r>
    <s v="ORD-0733"/>
    <s v="Bryn Donan"/>
    <x v="4"/>
    <s v="Acne Cleanser"/>
    <d v="2023-08-17T00:00:00"/>
    <d v="2023-08-20T00:00:00"/>
    <n v="2"/>
    <n v="3.5"/>
    <x v="0"/>
    <x v="0"/>
    <x v="2"/>
    <x v="1"/>
    <x v="5"/>
    <x v="5"/>
    <n v="3"/>
    <n v="7"/>
    <n v="3"/>
    <n v="4"/>
  </r>
  <r>
    <s v="ORD-0734"/>
    <s v="Brook Gatheridge"/>
    <x v="4"/>
    <s v="Gentle Cleanser"/>
    <d v="2023-09-28T00:00:00"/>
    <d v="2023-10-01T00:00:00"/>
    <n v="4"/>
    <n v="3"/>
    <x v="0"/>
    <x v="1"/>
    <x v="1"/>
    <x v="1"/>
    <x v="10"/>
    <x v="5"/>
    <n v="3"/>
    <n v="12"/>
    <n v="6"/>
    <n v="6"/>
  </r>
  <r>
    <s v="ORD-0735"/>
    <s v="Cesaro Bairnsfather"/>
    <x v="4"/>
    <s v="Gentle Cleanser"/>
    <d v="2024-06-04T00:00:00"/>
    <d v="2024-06-06T00:00:00"/>
    <n v="1"/>
    <n v="3"/>
    <x v="1"/>
    <x v="2"/>
    <x v="2"/>
    <x v="0"/>
    <x v="4"/>
    <x v="3"/>
    <n v="2"/>
    <n v="3"/>
    <n v="1"/>
    <n v="2"/>
  </r>
  <r>
    <s v="ORD-0736"/>
    <s v="Livvie Stebbins"/>
    <x v="1"/>
    <s v="Sunscreen SPF 30"/>
    <d v="2023-10-16T00:00:00"/>
    <d v="2023-10-18T00:00:00"/>
    <n v="2"/>
    <n v="4.75"/>
    <x v="0"/>
    <x v="1"/>
    <x v="1"/>
    <x v="1"/>
    <x v="7"/>
    <x v="2"/>
    <n v="2"/>
    <n v="9.5"/>
    <n v="5"/>
    <n v="4.5"/>
  </r>
  <r>
    <s v="ORD-0737"/>
    <s v="Tybalt Altham"/>
    <x v="2"/>
    <s v="Vitamin C Serum"/>
    <d v="2024-05-17T00:00:00"/>
    <d v="2024-05-29T00:00:00"/>
    <n v="4"/>
    <n v="8.5"/>
    <x v="0"/>
    <x v="1"/>
    <x v="0"/>
    <x v="0"/>
    <x v="9"/>
    <x v="6"/>
    <n v="12"/>
    <n v="34"/>
    <n v="20"/>
    <n v="14"/>
  </r>
  <r>
    <s v="ORD-0738"/>
    <s v="Micki Cornish"/>
    <x v="1"/>
    <s v="Sensitive Sunscreen"/>
    <d v="2023-12-31T00:00:00"/>
    <d v="2024-01-03T00:00:00"/>
    <n v="4"/>
    <n v="5.5"/>
    <x v="0"/>
    <x v="1"/>
    <x v="1"/>
    <x v="1"/>
    <x v="8"/>
    <x v="1"/>
    <n v="3"/>
    <n v="22"/>
    <n v="13"/>
    <n v="9"/>
  </r>
  <r>
    <s v="ORD-0739"/>
    <s v="Lizzy Peplaw"/>
    <x v="0"/>
    <s v="Night Cream"/>
    <d v="2023-08-25T00:00:00"/>
    <d v="2023-08-28T00:00:00"/>
    <n v="3"/>
    <n v="6.5"/>
    <x v="0"/>
    <x v="0"/>
    <x v="0"/>
    <x v="1"/>
    <x v="5"/>
    <x v="6"/>
    <n v="3"/>
    <n v="19.5"/>
    <n v="11"/>
    <n v="8.5"/>
  </r>
  <r>
    <s v="ORD-0740"/>
    <s v="Vikky Pinder"/>
    <x v="0"/>
    <s v="Daily Moisturizer"/>
    <d v="2024-07-31T00:00:00"/>
    <d v="2024-08-02T00:00:00"/>
    <n v="2"/>
    <n v="5.5"/>
    <x v="0"/>
    <x v="0"/>
    <x v="2"/>
    <x v="0"/>
    <x v="1"/>
    <x v="4"/>
    <n v="2"/>
    <n v="11"/>
    <n v="6"/>
    <n v="5"/>
  </r>
  <r>
    <s v="ORD-0741"/>
    <s v="Joaquin Brettle"/>
    <x v="4"/>
    <s v="Hydrating Cleanser"/>
    <d v="2024-02-05T00:00:00"/>
    <d v="2024-02-08T00:00:00"/>
    <n v="3"/>
    <n v="4"/>
    <x v="0"/>
    <x v="4"/>
    <x v="1"/>
    <x v="0"/>
    <x v="3"/>
    <x v="2"/>
    <n v="3"/>
    <n v="12"/>
    <n v="6"/>
    <n v="6"/>
  </r>
  <r>
    <s v="ORD-0742"/>
    <s v="Sheilah Simonou"/>
    <x v="0"/>
    <s v="Night Cream"/>
    <d v="2023-07-21T00:00:00"/>
    <d v="2023-07-22T00:00:00"/>
    <n v="1"/>
    <n v="6.5"/>
    <x v="0"/>
    <x v="0"/>
    <x v="2"/>
    <x v="1"/>
    <x v="1"/>
    <x v="6"/>
    <n v="1"/>
    <n v="6.5"/>
    <n v="4"/>
    <n v="2.5"/>
  </r>
  <r>
    <s v="ORD-0743"/>
    <s v="Elliott Maha"/>
    <x v="1"/>
    <s v="Matte Sunscreen"/>
    <d v="2024-04-01T00:00:00"/>
    <d v="2024-04-04T00:00:00"/>
    <n v="1"/>
    <n v="5.25"/>
    <x v="0"/>
    <x v="0"/>
    <x v="2"/>
    <x v="0"/>
    <x v="6"/>
    <x v="2"/>
    <n v="3"/>
    <n v="5.25"/>
    <n v="3"/>
    <n v="2.25"/>
  </r>
  <r>
    <s v="ORD-0744"/>
    <s v="Terza Plumbe"/>
    <x v="3"/>
    <s v="Brightening Toner"/>
    <d v="2024-03-22T00:00:00"/>
    <d v="2024-03-25T00:00:00"/>
    <n v="4"/>
    <n v="4.5"/>
    <x v="1"/>
    <x v="0"/>
    <x v="2"/>
    <x v="0"/>
    <x v="0"/>
    <x v="6"/>
    <n v="3"/>
    <n v="18"/>
    <n v="9"/>
    <n v="9"/>
  </r>
  <r>
    <s v="ORD-0745"/>
    <s v="Wake Hayford"/>
    <x v="4"/>
    <s v="Hydrating Cleanser"/>
    <d v="2024-08-04T00:00:00"/>
    <d v="2024-08-12T00:00:00"/>
    <n v="1"/>
    <n v="4"/>
    <x v="1"/>
    <x v="2"/>
    <x v="2"/>
    <x v="0"/>
    <x v="5"/>
    <x v="1"/>
    <n v="8"/>
    <n v="4"/>
    <n v="2"/>
    <n v="2"/>
  </r>
  <r>
    <s v="ORD-0746"/>
    <s v="Barnabe Lambkin"/>
    <x v="2"/>
    <s v="Niacinamide Serum"/>
    <d v="2023-11-02T00:00:00"/>
    <d v="2023-11-04T00:00:00"/>
    <n v="2"/>
    <n v="8"/>
    <x v="0"/>
    <x v="1"/>
    <x v="0"/>
    <x v="1"/>
    <x v="2"/>
    <x v="5"/>
    <n v="2"/>
    <n v="16"/>
    <n v="9"/>
    <n v="7"/>
  </r>
  <r>
    <s v="ORD-0747"/>
    <s v="Burty Boncore"/>
    <x v="3"/>
    <s v="Hydrating Toner"/>
    <d v="2024-05-18T00:00:00"/>
    <d v="2024-05-21T00:00:00"/>
    <n v="5"/>
    <n v="4.25"/>
    <x v="0"/>
    <x v="3"/>
    <x v="2"/>
    <x v="0"/>
    <x v="9"/>
    <x v="0"/>
    <n v="3"/>
    <n v="21.25"/>
    <n v="10"/>
    <n v="11.25"/>
  </r>
  <r>
    <s v="ORD-0748"/>
    <s v="Jamesy Walls"/>
    <x v="1"/>
    <s v="Sunscreen SPF 50"/>
    <d v="2023-11-13T00:00:00"/>
    <d v="2023-11-16T00:00:00"/>
    <n v="3"/>
    <n v="5"/>
    <x v="0"/>
    <x v="3"/>
    <x v="2"/>
    <x v="1"/>
    <x v="2"/>
    <x v="2"/>
    <n v="3"/>
    <n v="15"/>
    <n v="8"/>
    <n v="7"/>
  </r>
  <r>
    <s v="ORD-0749"/>
    <s v="Muffin MacCaughen"/>
    <x v="4"/>
    <s v="Brightening Cleanser"/>
    <d v="2023-09-10T00:00:00"/>
    <d v="2023-09-13T00:00:00"/>
    <n v="5"/>
    <n v="3.75"/>
    <x v="0"/>
    <x v="0"/>
    <x v="1"/>
    <x v="1"/>
    <x v="10"/>
    <x v="1"/>
    <n v="3"/>
    <n v="18.75"/>
    <n v="9"/>
    <n v="9.75"/>
  </r>
  <r>
    <s v="ORD-0750"/>
    <s v="Huntley Danniel"/>
    <x v="2"/>
    <s v="Niacinamide Serum"/>
    <d v="2024-02-12T00:00:00"/>
    <d v="2024-02-13T00:00:00"/>
    <n v="1"/>
    <n v="8"/>
    <x v="1"/>
    <x v="1"/>
    <x v="0"/>
    <x v="0"/>
    <x v="3"/>
    <x v="2"/>
    <n v="1"/>
    <n v="8"/>
    <n v="5"/>
    <n v="3"/>
  </r>
  <r>
    <s v="ORD-0751"/>
    <s v="Dannie Ancliffe"/>
    <x v="1"/>
    <s v="Sensitive Sunscreen"/>
    <d v="2023-08-06T00:00:00"/>
    <d v="2023-08-07T00:00:00"/>
    <n v="2"/>
    <n v="5.5"/>
    <x v="0"/>
    <x v="1"/>
    <x v="0"/>
    <x v="1"/>
    <x v="5"/>
    <x v="1"/>
    <n v="1"/>
    <n v="11"/>
    <n v="7"/>
    <n v="4"/>
  </r>
  <r>
    <s v="ORD-0752"/>
    <s v="Peggie Oganesian"/>
    <x v="0"/>
    <s v="Repair Cream"/>
    <d v="2024-03-17T00:00:00"/>
    <d v="2024-03-29T00:00:00"/>
    <n v="4"/>
    <n v="6.25"/>
    <x v="0"/>
    <x v="3"/>
    <x v="2"/>
    <x v="0"/>
    <x v="0"/>
    <x v="1"/>
    <n v="12"/>
    <n v="25"/>
    <n v="14"/>
    <n v="11"/>
  </r>
  <r>
    <s v="ORD-0753"/>
    <s v="Freeland Glasbey"/>
    <x v="4"/>
    <s v="Hydrating Cleanser"/>
    <d v="2024-02-03T00:00:00"/>
    <d v="2024-02-05T00:00:00"/>
    <n v="1"/>
    <n v="4"/>
    <x v="0"/>
    <x v="3"/>
    <x v="2"/>
    <x v="0"/>
    <x v="3"/>
    <x v="0"/>
    <n v="2"/>
    <n v="4"/>
    <n v="2"/>
    <n v="2"/>
  </r>
  <r>
    <s v="ORD-0754"/>
    <s v="Gerhardine Lakey"/>
    <x v="0"/>
    <s v="Night Cream"/>
    <d v="2023-10-03T00:00:00"/>
    <d v="2023-10-05T00:00:00"/>
    <n v="5"/>
    <n v="6.5"/>
    <x v="0"/>
    <x v="1"/>
    <x v="2"/>
    <x v="1"/>
    <x v="7"/>
    <x v="3"/>
    <n v="2"/>
    <n v="32.5"/>
    <n v="19"/>
    <n v="13.5"/>
  </r>
  <r>
    <s v="ORD-0755"/>
    <s v="Ortensia Bog"/>
    <x v="4"/>
    <s v="Acne Cleanser"/>
    <d v="2024-08-05T00:00:00"/>
    <d v="2024-08-18T00:00:00"/>
    <n v="2"/>
    <n v="3.5"/>
    <x v="0"/>
    <x v="5"/>
    <x v="0"/>
    <x v="0"/>
    <x v="5"/>
    <x v="2"/>
    <n v="13"/>
    <n v="7"/>
    <n v="3"/>
    <n v="4"/>
  </r>
  <r>
    <s v="ORD-0756"/>
    <s v="Allen Cranefield"/>
    <x v="0"/>
    <s v="Daily Moisturizer"/>
    <d v="2024-02-05T00:00:00"/>
    <d v="2024-02-15T00:00:00"/>
    <n v="5"/>
    <n v="5.5"/>
    <x v="0"/>
    <x v="2"/>
    <x v="2"/>
    <x v="0"/>
    <x v="3"/>
    <x v="2"/>
    <n v="10"/>
    <n v="27.5"/>
    <n v="14"/>
    <n v="13.5"/>
  </r>
  <r>
    <s v="ORD-0757"/>
    <s v="Frazier Kobieriecki"/>
    <x v="1"/>
    <s v="Sensitive Sunscreen"/>
    <d v="2024-10-11T00:00:00"/>
    <d v="2024-10-12T00:00:00"/>
    <n v="5"/>
    <n v="5.5"/>
    <x v="0"/>
    <x v="0"/>
    <x v="2"/>
    <x v="0"/>
    <x v="7"/>
    <x v="6"/>
    <n v="1"/>
    <n v="27.5"/>
    <n v="17"/>
    <n v="10.5"/>
  </r>
  <r>
    <s v="ORD-0758"/>
    <s v="Wileen Campione"/>
    <x v="0"/>
    <s v="Gel Moisturizer"/>
    <d v="2024-10-03T00:00:00"/>
    <d v="2024-10-06T00:00:00"/>
    <n v="5"/>
    <n v="5.75"/>
    <x v="0"/>
    <x v="1"/>
    <x v="1"/>
    <x v="0"/>
    <x v="7"/>
    <x v="5"/>
    <n v="3"/>
    <n v="28.75"/>
    <n v="14"/>
    <n v="14.75"/>
  </r>
  <r>
    <s v="ORD-0759"/>
    <s v="Shell D'Onisi"/>
    <x v="4"/>
    <s v="Gentle Cleanser"/>
    <d v="2023-10-14T00:00:00"/>
    <d v="2023-10-17T00:00:00"/>
    <n v="4"/>
    <n v="3"/>
    <x v="0"/>
    <x v="0"/>
    <x v="2"/>
    <x v="1"/>
    <x v="7"/>
    <x v="0"/>
    <n v="3"/>
    <n v="12"/>
    <n v="6"/>
    <n v="6"/>
  </r>
  <r>
    <s v="ORD-0760"/>
    <s v="Gabie Barnett"/>
    <x v="1"/>
    <s v="Sensitive Sunscreen"/>
    <d v="2024-07-27T00:00:00"/>
    <d v="2024-07-29T00:00:00"/>
    <n v="3"/>
    <n v="5.5"/>
    <x v="1"/>
    <x v="4"/>
    <x v="2"/>
    <x v="0"/>
    <x v="1"/>
    <x v="0"/>
    <n v="2"/>
    <n v="16.5"/>
    <n v="10"/>
    <n v="6.5"/>
  </r>
  <r>
    <s v="ORD-0761"/>
    <s v="Christin Benitez"/>
    <x v="2"/>
    <s v="Retinol Serum"/>
    <d v="2024-04-12T00:00:00"/>
    <d v="2024-04-14T00:00:00"/>
    <n v="3"/>
    <n v="10"/>
    <x v="0"/>
    <x v="0"/>
    <x v="2"/>
    <x v="0"/>
    <x v="6"/>
    <x v="6"/>
    <n v="2"/>
    <n v="30"/>
    <n v="20"/>
    <n v="10"/>
  </r>
  <r>
    <s v="ORD-0762"/>
    <s v="Jayme Wesley"/>
    <x v="4"/>
    <s v="Hydrating Cleanser"/>
    <d v="2024-01-03T00:00:00"/>
    <d v="2024-01-12T00:00:00"/>
    <n v="4"/>
    <n v="4"/>
    <x v="0"/>
    <x v="2"/>
    <x v="2"/>
    <x v="0"/>
    <x v="11"/>
    <x v="4"/>
    <n v="9"/>
    <n v="16"/>
    <n v="8"/>
    <n v="8"/>
  </r>
  <r>
    <s v="ORD-0763"/>
    <s v="Irving Batsford"/>
    <x v="4"/>
    <s v="Gentle Cleanser"/>
    <d v="2023-12-12T00:00:00"/>
    <d v="2023-12-14T00:00:00"/>
    <n v="3"/>
    <n v="3"/>
    <x v="0"/>
    <x v="2"/>
    <x v="1"/>
    <x v="1"/>
    <x v="8"/>
    <x v="3"/>
    <n v="2"/>
    <n v="9"/>
    <n v="4"/>
    <n v="5"/>
  </r>
  <r>
    <s v="ORD-0764"/>
    <s v="Tamqrah Churchlow"/>
    <x v="4"/>
    <s v="Acne Cleanser"/>
    <d v="2024-08-11T00:00:00"/>
    <d v="2024-08-12T00:00:00"/>
    <n v="2"/>
    <n v="3.5"/>
    <x v="0"/>
    <x v="0"/>
    <x v="2"/>
    <x v="0"/>
    <x v="5"/>
    <x v="1"/>
    <n v="1"/>
    <n v="7"/>
    <n v="3"/>
    <n v="4"/>
  </r>
  <r>
    <s v="ORD-0765"/>
    <s v="Noreen Sterrie"/>
    <x v="1"/>
    <s v="Sensitive Sunscreen"/>
    <d v="2024-03-04T00:00:00"/>
    <d v="2024-03-06T00:00:00"/>
    <n v="3"/>
    <n v="5.5"/>
    <x v="1"/>
    <x v="0"/>
    <x v="2"/>
    <x v="0"/>
    <x v="0"/>
    <x v="2"/>
    <n v="2"/>
    <n v="16.5"/>
    <n v="10"/>
    <n v="6.5"/>
  </r>
  <r>
    <s v="ORD-0766"/>
    <s v="Sharleen McAuley"/>
    <x v="4"/>
    <s v="Acne Cleanser"/>
    <d v="2024-09-04T00:00:00"/>
    <d v="2024-09-05T00:00:00"/>
    <n v="2"/>
    <n v="3.5"/>
    <x v="0"/>
    <x v="1"/>
    <x v="1"/>
    <x v="0"/>
    <x v="10"/>
    <x v="4"/>
    <n v="1"/>
    <n v="7"/>
    <n v="3"/>
    <n v="4"/>
  </r>
  <r>
    <s v="ORD-0767"/>
    <s v="Alisha Davidowsky"/>
    <x v="4"/>
    <s v="Brightening Cleanser"/>
    <d v="2023-09-07T00:00:00"/>
    <d v="2023-09-08T00:00:00"/>
    <n v="5"/>
    <n v="3.75"/>
    <x v="0"/>
    <x v="1"/>
    <x v="0"/>
    <x v="1"/>
    <x v="10"/>
    <x v="5"/>
    <n v="1"/>
    <n v="18.75"/>
    <n v="9"/>
    <n v="9.75"/>
  </r>
  <r>
    <s v="ORD-0768"/>
    <s v="Kalina Jacquemot"/>
    <x v="3"/>
    <s v="Hydrating Toner"/>
    <d v="2024-02-11T00:00:00"/>
    <d v="2024-02-14T00:00:00"/>
    <n v="3"/>
    <n v="4.25"/>
    <x v="1"/>
    <x v="0"/>
    <x v="2"/>
    <x v="0"/>
    <x v="3"/>
    <x v="1"/>
    <n v="3"/>
    <n v="12.75"/>
    <n v="6"/>
    <n v="6.75"/>
  </r>
  <r>
    <s v="ORD-0769"/>
    <s v="Reece Croxton"/>
    <x v="1"/>
    <s v="Matte Sunscreen"/>
    <d v="2023-09-22T00:00:00"/>
    <d v="2023-09-28T00:00:00"/>
    <n v="2"/>
    <n v="5.25"/>
    <x v="0"/>
    <x v="0"/>
    <x v="1"/>
    <x v="1"/>
    <x v="10"/>
    <x v="6"/>
    <n v="6"/>
    <n v="10.5"/>
    <n v="6"/>
    <n v="4.5"/>
  </r>
  <r>
    <s v="ORD-0770"/>
    <s v="Chiquita Dax"/>
    <x v="1"/>
    <s v="Matte Sunscreen"/>
    <d v="2023-12-01T00:00:00"/>
    <d v="2023-12-04T00:00:00"/>
    <n v="4"/>
    <n v="5.25"/>
    <x v="0"/>
    <x v="0"/>
    <x v="2"/>
    <x v="1"/>
    <x v="8"/>
    <x v="6"/>
    <n v="3"/>
    <n v="21"/>
    <n v="12"/>
    <n v="9"/>
  </r>
  <r>
    <s v="ORD-0771"/>
    <s v="Dori Cohrs"/>
    <x v="3"/>
    <s v="Soothing Toner"/>
    <d v="2024-05-03T00:00:00"/>
    <d v="2024-05-05T00:00:00"/>
    <n v="2"/>
    <n v="4.75"/>
    <x v="0"/>
    <x v="4"/>
    <x v="1"/>
    <x v="0"/>
    <x v="9"/>
    <x v="6"/>
    <n v="2"/>
    <n v="9.5"/>
    <n v="5"/>
    <n v="4.5"/>
  </r>
  <r>
    <s v="ORD-0772"/>
    <s v="Aili Bradfield"/>
    <x v="0"/>
    <s v="Daily Moisturizer"/>
    <d v="2024-09-18T00:00:00"/>
    <d v="2024-09-24T00:00:00"/>
    <n v="2"/>
    <n v="5.5"/>
    <x v="1"/>
    <x v="0"/>
    <x v="2"/>
    <x v="0"/>
    <x v="10"/>
    <x v="4"/>
    <n v="6"/>
    <n v="11"/>
    <n v="6"/>
    <n v="5"/>
  </r>
  <r>
    <s v="ORD-0773"/>
    <s v="Elmer Poolton"/>
    <x v="4"/>
    <s v="Brightening Cleanser"/>
    <d v="2023-08-29T00:00:00"/>
    <d v="2023-09-09T00:00:00"/>
    <n v="2"/>
    <n v="3.75"/>
    <x v="0"/>
    <x v="1"/>
    <x v="2"/>
    <x v="1"/>
    <x v="5"/>
    <x v="3"/>
    <n v="11"/>
    <n v="7.5"/>
    <n v="4"/>
    <n v="3.5"/>
  </r>
  <r>
    <s v="ORD-0774"/>
    <s v="Denney Crate"/>
    <x v="1"/>
    <s v="Sensitive Sunscreen"/>
    <d v="2024-04-27T00:00:00"/>
    <d v="2024-04-29T00:00:00"/>
    <n v="4"/>
    <n v="5.5"/>
    <x v="0"/>
    <x v="1"/>
    <x v="1"/>
    <x v="0"/>
    <x v="6"/>
    <x v="0"/>
    <n v="2"/>
    <n v="22"/>
    <n v="13"/>
    <n v="9"/>
  </r>
  <r>
    <s v="ORD-0775"/>
    <s v="Enrico Airth"/>
    <x v="4"/>
    <s v="Brightening Cleanser"/>
    <d v="2024-05-05T00:00:00"/>
    <d v="2024-05-09T00:00:00"/>
    <n v="1"/>
    <n v="3.75"/>
    <x v="0"/>
    <x v="4"/>
    <x v="2"/>
    <x v="0"/>
    <x v="9"/>
    <x v="1"/>
    <n v="4"/>
    <n v="3.75"/>
    <n v="2"/>
    <n v="1.75"/>
  </r>
  <r>
    <s v="ORD-0776"/>
    <s v="Jacques Lindsey"/>
    <x v="3"/>
    <s v="Soothing Toner"/>
    <d v="2024-07-03T00:00:00"/>
    <d v="2024-07-14T00:00:00"/>
    <n v="3"/>
    <n v="4.75"/>
    <x v="0"/>
    <x v="0"/>
    <x v="0"/>
    <x v="0"/>
    <x v="1"/>
    <x v="4"/>
    <n v="11"/>
    <n v="14.25"/>
    <n v="8"/>
    <n v="6.25"/>
  </r>
  <r>
    <s v="ORD-0777"/>
    <s v="Guy Powles"/>
    <x v="0"/>
    <s v="Daily Moisturizer"/>
    <d v="2024-07-03T00:00:00"/>
    <d v="2024-07-06T00:00:00"/>
    <n v="4"/>
    <n v="5.5"/>
    <x v="0"/>
    <x v="0"/>
    <x v="0"/>
    <x v="0"/>
    <x v="1"/>
    <x v="4"/>
    <n v="3"/>
    <n v="22"/>
    <n v="11"/>
    <n v="11"/>
  </r>
  <r>
    <s v="ORD-0778"/>
    <s v="Francis Skellion"/>
    <x v="4"/>
    <s v="Hydrating Cleanser"/>
    <d v="2024-09-15T00:00:00"/>
    <d v="2024-09-20T00:00:00"/>
    <n v="5"/>
    <n v="4"/>
    <x v="1"/>
    <x v="0"/>
    <x v="2"/>
    <x v="0"/>
    <x v="10"/>
    <x v="1"/>
    <n v="5"/>
    <n v="20"/>
    <n v="10"/>
    <n v="10"/>
  </r>
  <r>
    <s v="ORD-0779"/>
    <s v="Johnath Pawlowicz"/>
    <x v="0"/>
    <s v="Repair Cream"/>
    <d v="2024-03-30T00:00:00"/>
    <d v="2024-04-01T00:00:00"/>
    <n v="2"/>
    <n v="6.25"/>
    <x v="0"/>
    <x v="0"/>
    <x v="2"/>
    <x v="0"/>
    <x v="0"/>
    <x v="0"/>
    <n v="2"/>
    <n v="12.5"/>
    <n v="7"/>
    <n v="5.5"/>
  </r>
  <r>
    <s v="ORD-0780"/>
    <s v="Jeanie Griffe"/>
    <x v="3"/>
    <s v="Hydrating Toner"/>
    <d v="2023-12-16T00:00:00"/>
    <d v="2023-12-20T00:00:00"/>
    <n v="5"/>
    <n v="4.25"/>
    <x v="0"/>
    <x v="0"/>
    <x v="1"/>
    <x v="1"/>
    <x v="8"/>
    <x v="0"/>
    <n v="4"/>
    <n v="21.25"/>
    <n v="10"/>
    <n v="11.25"/>
  </r>
  <r>
    <s v="ORD-0781"/>
    <s v="Caye McGuane"/>
    <x v="2"/>
    <s v="Niacinamide Serum"/>
    <d v="2024-09-29T00:00:00"/>
    <d v="2024-10-01T00:00:00"/>
    <n v="1"/>
    <n v="8"/>
    <x v="1"/>
    <x v="2"/>
    <x v="2"/>
    <x v="0"/>
    <x v="10"/>
    <x v="1"/>
    <n v="2"/>
    <n v="8"/>
    <n v="5"/>
    <n v="3"/>
  </r>
  <r>
    <s v="ORD-0782"/>
    <s v="Cleavland Aspy"/>
    <x v="1"/>
    <s v="Matte Sunscreen"/>
    <d v="2024-09-26T00:00:00"/>
    <d v="2024-09-27T00:00:00"/>
    <n v="1"/>
    <n v="5.25"/>
    <x v="0"/>
    <x v="0"/>
    <x v="2"/>
    <x v="0"/>
    <x v="10"/>
    <x v="5"/>
    <n v="1"/>
    <n v="5.25"/>
    <n v="3"/>
    <n v="2.25"/>
  </r>
  <r>
    <s v="ORD-0783"/>
    <s v="Margaretha Buntin"/>
    <x v="1"/>
    <s v="Sunscreen SPF 30"/>
    <d v="2023-11-01T00:00:00"/>
    <d v="2023-11-02T00:00:00"/>
    <n v="1"/>
    <n v="4.75"/>
    <x v="0"/>
    <x v="1"/>
    <x v="1"/>
    <x v="1"/>
    <x v="2"/>
    <x v="4"/>
    <n v="1"/>
    <n v="4.75"/>
    <n v="3"/>
    <n v="1.75"/>
  </r>
  <r>
    <s v="ORD-0784"/>
    <s v="Chancey Warlowe"/>
    <x v="1"/>
    <s v="Sunscreen SPF 50"/>
    <d v="2023-08-31T00:00:00"/>
    <d v="2023-09-02T00:00:00"/>
    <n v="3"/>
    <n v="5"/>
    <x v="0"/>
    <x v="0"/>
    <x v="0"/>
    <x v="1"/>
    <x v="5"/>
    <x v="5"/>
    <n v="2"/>
    <n v="15"/>
    <n v="8"/>
    <n v="7"/>
  </r>
  <r>
    <s v="ORD-0785"/>
    <s v="Etti Ropars"/>
    <x v="0"/>
    <s v="Gel Moisturizer"/>
    <d v="2024-08-09T00:00:00"/>
    <d v="2024-08-10T00:00:00"/>
    <n v="1"/>
    <n v="5.75"/>
    <x v="0"/>
    <x v="0"/>
    <x v="0"/>
    <x v="0"/>
    <x v="5"/>
    <x v="6"/>
    <n v="1"/>
    <n v="5.75"/>
    <n v="3"/>
    <n v="2.75"/>
  </r>
  <r>
    <s v="ORD-0786"/>
    <s v="Sabine Tesmond"/>
    <x v="3"/>
    <s v="Hydrating Toner"/>
    <d v="2024-03-28T00:00:00"/>
    <d v="2024-04-02T00:00:00"/>
    <n v="5"/>
    <n v="4.25"/>
    <x v="0"/>
    <x v="3"/>
    <x v="2"/>
    <x v="0"/>
    <x v="0"/>
    <x v="5"/>
    <n v="5"/>
    <n v="21.25"/>
    <n v="10"/>
    <n v="11.25"/>
  </r>
  <r>
    <s v="ORD-0787"/>
    <s v="Celinka Aleswell"/>
    <x v="1"/>
    <s v="Sunscreen SPF 30"/>
    <d v="2024-02-07T00:00:00"/>
    <d v="2024-02-09T00:00:00"/>
    <n v="3"/>
    <n v="4.75"/>
    <x v="0"/>
    <x v="0"/>
    <x v="2"/>
    <x v="0"/>
    <x v="3"/>
    <x v="4"/>
    <n v="2"/>
    <n v="14.25"/>
    <n v="8"/>
    <n v="6.25"/>
  </r>
  <r>
    <s v="ORD-0788"/>
    <s v="Lanita Lawlings"/>
    <x v="4"/>
    <s v="Acne Cleanser"/>
    <d v="2024-03-03T00:00:00"/>
    <d v="2024-03-09T00:00:00"/>
    <n v="1"/>
    <n v="3.5"/>
    <x v="0"/>
    <x v="1"/>
    <x v="1"/>
    <x v="0"/>
    <x v="0"/>
    <x v="1"/>
    <n v="6"/>
    <n v="3.5"/>
    <n v="2"/>
    <n v="1.5"/>
  </r>
  <r>
    <s v="ORD-0789"/>
    <s v="Prissie Haresnaip"/>
    <x v="1"/>
    <s v="Sensitive Sunscreen"/>
    <d v="2024-04-05T00:00:00"/>
    <d v="2024-04-08T00:00:00"/>
    <n v="1"/>
    <n v="5.5"/>
    <x v="0"/>
    <x v="0"/>
    <x v="2"/>
    <x v="0"/>
    <x v="6"/>
    <x v="6"/>
    <n v="3"/>
    <n v="5.5"/>
    <n v="3"/>
    <n v="2.5"/>
  </r>
  <r>
    <s v="ORD-0790"/>
    <s v="Kevin Melvin"/>
    <x v="1"/>
    <s v="Sensitive Sunscreen"/>
    <d v="2024-04-07T00:00:00"/>
    <d v="2024-04-11T00:00:00"/>
    <n v="3"/>
    <n v="5.5"/>
    <x v="0"/>
    <x v="2"/>
    <x v="0"/>
    <x v="0"/>
    <x v="6"/>
    <x v="1"/>
    <n v="4"/>
    <n v="16.5"/>
    <n v="10"/>
    <n v="6.5"/>
  </r>
  <r>
    <s v="ORD-0791"/>
    <s v="Craggy Addicote"/>
    <x v="0"/>
    <s v="Gel Moisturizer"/>
    <d v="2024-10-06T00:00:00"/>
    <d v="2024-10-09T00:00:00"/>
    <n v="4"/>
    <n v="5.75"/>
    <x v="0"/>
    <x v="0"/>
    <x v="1"/>
    <x v="0"/>
    <x v="7"/>
    <x v="1"/>
    <n v="3"/>
    <n v="23"/>
    <n v="12"/>
    <n v="11"/>
  </r>
  <r>
    <s v="ORD-0792"/>
    <s v="Hayley Sambells"/>
    <x v="0"/>
    <s v="Daily Moisturizer"/>
    <d v="2024-10-22T00:00:00"/>
    <d v="2024-10-25T00:00:00"/>
    <n v="3"/>
    <n v="5.5"/>
    <x v="0"/>
    <x v="0"/>
    <x v="2"/>
    <x v="0"/>
    <x v="7"/>
    <x v="3"/>
    <n v="3"/>
    <n v="16.5"/>
    <n v="9"/>
    <n v="7.5"/>
  </r>
  <r>
    <s v="ORD-0793"/>
    <s v="Granny MacKim"/>
    <x v="3"/>
    <s v="Brightening Toner"/>
    <d v="2023-09-20T00:00:00"/>
    <d v="2023-09-22T00:00:00"/>
    <n v="5"/>
    <n v="4.5"/>
    <x v="0"/>
    <x v="0"/>
    <x v="2"/>
    <x v="1"/>
    <x v="10"/>
    <x v="4"/>
    <n v="2"/>
    <n v="22.5"/>
    <n v="12"/>
    <n v="10.5"/>
  </r>
  <r>
    <s v="ORD-0794"/>
    <s v="Caspar Wellbelove"/>
    <x v="2"/>
    <s v="Niacinamide Serum"/>
    <d v="2024-03-06T00:00:00"/>
    <d v="2024-03-17T00:00:00"/>
    <n v="4"/>
    <n v="8"/>
    <x v="0"/>
    <x v="2"/>
    <x v="2"/>
    <x v="0"/>
    <x v="0"/>
    <x v="4"/>
    <n v="11"/>
    <n v="32"/>
    <n v="19"/>
    <n v="13"/>
  </r>
  <r>
    <s v="ORD-0795"/>
    <s v="Reynolds Dobrowski"/>
    <x v="1"/>
    <s v="Matte Sunscreen"/>
    <d v="2023-12-31T00:00:00"/>
    <d v="2024-01-01T00:00:00"/>
    <n v="3"/>
    <n v="5.25"/>
    <x v="0"/>
    <x v="0"/>
    <x v="1"/>
    <x v="1"/>
    <x v="8"/>
    <x v="1"/>
    <n v="1"/>
    <n v="15.75"/>
    <n v="9"/>
    <n v="6.75"/>
  </r>
  <r>
    <s v="ORD-0796"/>
    <s v="Gypsy Ree"/>
    <x v="0"/>
    <s v="Repair Cream"/>
    <d v="2024-09-03T00:00:00"/>
    <d v="2024-09-05T00:00:00"/>
    <n v="3"/>
    <n v="6.25"/>
    <x v="0"/>
    <x v="3"/>
    <x v="2"/>
    <x v="0"/>
    <x v="10"/>
    <x v="3"/>
    <n v="2"/>
    <n v="18.75"/>
    <n v="10"/>
    <n v="8.75"/>
  </r>
  <r>
    <s v="ORD-0797"/>
    <s v="Madelin Cowland"/>
    <x v="0"/>
    <s v="Daily Moisturizer"/>
    <d v="2024-07-13T00:00:00"/>
    <d v="2024-07-15T00:00:00"/>
    <n v="5"/>
    <n v="5.5"/>
    <x v="0"/>
    <x v="0"/>
    <x v="2"/>
    <x v="0"/>
    <x v="1"/>
    <x v="0"/>
    <n v="2"/>
    <n v="27.5"/>
    <n v="14"/>
    <n v="13.5"/>
  </r>
  <r>
    <s v="ORD-0798"/>
    <s v="Quent Gilling"/>
    <x v="3"/>
    <s v="Hydrating Toner"/>
    <d v="2024-05-11T00:00:00"/>
    <d v="2024-05-12T00:00:00"/>
    <n v="2"/>
    <n v="4.25"/>
    <x v="0"/>
    <x v="3"/>
    <x v="1"/>
    <x v="0"/>
    <x v="9"/>
    <x v="0"/>
    <n v="1"/>
    <n v="8.5"/>
    <n v="4"/>
    <n v="4.5"/>
  </r>
  <r>
    <s v="ORD-0799"/>
    <s v="Drucy Heminsley"/>
    <x v="4"/>
    <s v="Brightening Cleanser"/>
    <d v="2023-08-13T00:00:00"/>
    <d v="2023-08-14T00:00:00"/>
    <n v="5"/>
    <n v="3.75"/>
    <x v="0"/>
    <x v="1"/>
    <x v="1"/>
    <x v="1"/>
    <x v="5"/>
    <x v="1"/>
    <n v="1"/>
    <n v="18.75"/>
    <n v="9"/>
    <n v="9.75"/>
  </r>
  <r>
    <s v="ORD-0800"/>
    <s v="Avis Aartsen"/>
    <x v="0"/>
    <s v="Gel Moisturizer"/>
    <d v="2024-04-10T00:00:00"/>
    <d v="2024-04-11T00:00:00"/>
    <n v="1"/>
    <n v="5.75"/>
    <x v="0"/>
    <x v="5"/>
    <x v="2"/>
    <x v="0"/>
    <x v="6"/>
    <x v="4"/>
    <n v="1"/>
    <n v="5.75"/>
    <n v="3"/>
    <n v="2.75"/>
  </r>
  <r>
    <s v="ORD-0801"/>
    <s v="Clemence Gerardin"/>
    <x v="3"/>
    <s v="Hydrating Toner"/>
    <d v="2024-01-09T00:00:00"/>
    <d v="2024-01-11T00:00:00"/>
    <n v="3"/>
    <n v="4.25"/>
    <x v="1"/>
    <x v="0"/>
    <x v="2"/>
    <x v="0"/>
    <x v="11"/>
    <x v="3"/>
    <n v="2"/>
    <n v="12.75"/>
    <n v="6"/>
    <n v="6.75"/>
  </r>
  <r>
    <s v="ORD-0802"/>
    <s v="Hollis Segeswoeth"/>
    <x v="4"/>
    <s v="Gentle Cleanser"/>
    <d v="2023-09-16T00:00:00"/>
    <d v="2023-09-19T00:00:00"/>
    <n v="5"/>
    <n v="3"/>
    <x v="0"/>
    <x v="2"/>
    <x v="0"/>
    <x v="1"/>
    <x v="10"/>
    <x v="0"/>
    <n v="3"/>
    <n v="15"/>
    <n v="7"/>
    <n v="8"/>
  </r>
  <r>
    <s v="ORD-0803"/>
    <s v="Cammi Aymerich"/>
    <x v="2"/>
    <s v="Vitamin C Serum"/>
    <d v="2024-07-02T00:00:00"/>
    <d v="2024-07-04T00:00:00"/>
    <n v="2"/>
    <n v="8.5"/>
    <x v="0"/>
    <x v="4"/>
    <x v="1"/>
    <x v="0"/>
    <x v="1"/>
    <x v="3"/>
    <n v="2"/>
    <n v="17"/>
    <n v="10"/>
    <n v="7"/>
  </r>
  <r>
    <s v="ORD-0804"/>
    <s v="Batsheva Churchman"/>
    <x v="1"/>
    <s v="Sunscreen SPF 30"/>
    <d v="2024-09-16T00:00:00"/>
    <d v="2024-09-19T00:00:00"/>
    <n v="2"/>
    <n v="4.75"/>
    <x v="0"/>
    <x v="5"/>
    <x v="2"/>
    <x v="0"/>
    <x v="10"/>
    <x v="2"/>
    <n v="3"/>
    <n v="9.5"/>
    <n v="5"/>
    <n v="4.5"/>
  </r>
  <r>
    <s v="ORD-0805"/>
    <s v="Noni Scoular"/>
    <x v="0"/>
    <s v="Daily Moisturizer"/>
    <d v="2024-06-27T00:00:00"/>
    <d v="2024-06-28T00:00:00"/>
    <n v="2"/>
    <n v="5.5"/>
    <x v="0"/>
    <x v="0"/>
    <x v="2"/>
    <x v="0"/>
    <x v="4"/>
    <x v="5"/>
    <n v="1"/>
    <n v="11"/>
    <n v="6"/>
    <n v="5"/>
  </r>
  <r>
    <s v="ORD-0806"/>
    <s v="Adrianne Tivnan"/>
    <x v="4"/>
    <s v="Acne Cleanser"/>
    <d v="2024-08-09T00:00:00"/>
    <d v="2024-08-12T00:00:00"/>
    <n v="1"/>
    <n v="3.5"/>
    <x v="0"/>
    <x v="0"/>
    <x v="2"/>
    <x v="0"/>
    <x v="5"/>
    <x v="6"/>
    <n v="3"/>
    <n v="3.5"/>
    <n v="2"/>
    <n v="1.5"/>
  </r>
  <r>
    <s v="ORD-0807"/>
    <s v="Mellie Wybron"/>
    <x v="4"/>
    <s v="Brightening Cleanser"/>
    <d v="2024-09-05T00:00:00"/>
    <d v="2024-09-11T00:00:00"/>
    <n v="2"/>
    <n v="3.75"/>
    <x v="0"/>
    <x v="2"/>
    <x v="1"/>
    <x v="0"/>
    <x v="10"/>
    <x v="5"/>
    <n v="6"/>
    <n v="7.5"/>
    <n v="4"/>
    <n v="3.5"/>
  </r>
  <r>
    <s v="ORD-0808"/>
    <s v="Belvia Meadley"/>
    <x v="1"/>
    <s v="Sunscreen SPF 30"/>
    <d v="2024-08-02T00:00:00"/>
    <d v="2024-08-08T00:00:00"/>
    <n v="1"/>
    <n v="4.75"/>
    <x v="0"/>
    <x v="1"/>
    <x v="0"/>
    <x v="0"/>
    <x v="5"/>
    <x v="6"/>
    <n v="6"/>
    <n v="4.75"/>
    <n v="3"/>
    <n v="1.75"/>
  </r>
  <r>
    <s v="ORD-0809"/>
    <s v="Tito Romeuf"/>
    <x v="3"/>
    <s v="Brightening Toner"/>
    <d v="2023-11-26T00:00:00"/>
    <d v="2023-12-05T00:00:00"/>
    <n v="2"/>
    <n v="4.5"/>
    <x v="0"/>
    <x v="3"/>
    <x v="1"/>
    <x v="1"/>
    <x v="2"/>
    <x v="1"/>
    <n v="9"/>
    <n v="9"/>
    <n v="5"/>
    <n v="4"/>
  </r>
  <r>
    <s v="ORD-0810"/>
    <s v="Nathan Kloser"/>
    <x v="1"/>
    <s v="Sunscreen SPF 30"/>
    <d v="2023-07-17T00:00:00"/>
    <d v="2023-07-20T00:00:00"/>
    <n v="3"/>
    <n v="4.75"/>
    <x v="0"/>
    <x v="0"/>
    <x v="2"/>
    <x v="1"/>
    <x v="1"/>
    <x v="2"/>
    <n v="3"/>
    <n v="14.25"/>
    <n v="8"/>
    <n v="6.25"/>
  </r>
  <r>
    <s v="ORD-0811"/>
    <s v="Tremain Ethridge"/>
    <x v="4"/>
    <s v="Gentle Cleanser"/>
    <d v="2024-09-28T00:00:00"/>
    <d v="2024-09-29T00:00:00"/>
    <n v="1"/>
    <n v="3"/>
    <x v="0"/>
    <x v="0"/>
    <x v="2"/>
    <x v="0"/>
    <x v="10"/>
    <x v="0"/>
    <n v="1"/>
    <n v="3"/>
    <n v="1"/>
    <n v="2"/>
  </r>
  <r>
    <s v="ORD-0812"/>
    <s v="Davina Tomik"/>
    <x v="0"/>
    <s v="Daily Moisturizer"/>
    <d v="2024-09-18T00:00:00"/>
    <d v="2024-09-19T00:00:00"/>
    <n v="2"/>
    <n v="5.5"/>
    <x v="0"/>
    <x v="3"/>
    <x v="0"/>
    <x v="0"/>
    <x v="10"/>
    <x v="4"/>
    <n v="1"/>
    <n v="11"/>
    <n v="6"/>
    <n v="5"/>
  </r>
  <r>
    <s v="ORD-0813"/>
    <s v="Catherine Bauser"/>
    <x v="0"/>
    <s v="Gel Moisturizer"/>
    <d v="2024-02-21T00:00:00"/>
    <d v="2024-02-23T00:00:00"/>
    <n v="4"/>
    <n v="5.75"/>
    <x v="0"/>
    <x v="0"/>
    <x v="2"/>
    <x v="0"/>
    <x v="3"/>
    <x v="4"/>
    <n v="2"/>
    <n v="23"/>
    <n v="12"/>
    <n v="11"/>
  </r>
  <r>
    <s v="ORD-0814"/>
    <s v="Filia McGlaughn"/>
    <x v="4"/>
    <s v="Gentle Cleanser"/>
    <d v="2024-09-26T00:00:00"/>
    <d v="2024-09-27T00:00:00"/>
    <n v="5"/>
    <n v="3"/>
    <x v="0"/>
    <x v="0"/>
    <x v="0"/>
    <x v="0"/>
    <x v="10"/>
    <x v="5"/>
    <n v="1"/>
    <n v="15"/>
    <n v="7"/>
    <n v="8"/>
  </r>
  <r>
    <s v="ORD-0815"/>
    <s v="Regan Hulke"/>
    <x v="4"/>
    <s v="Acne Cleanser"/>
    <d v="2024-01-17T00:00:00"/>
    <d v="2024-01-19T00:00:00"/>
    <n v="1"/>
    <n v="3.5"/>
    <x v="0"/>
    <x v="2"/>
    <x v="1"/>
    <x v="0"/>
    <x v="11"/>
    <x v="4"/>
    <n v="2"/>
    <n v="3.5"/>
    <n v="2"/>
    <n v="1.5"/>
  </r>
  <r>
    <s v="ORD-0816"/>
    <s v="Gibbie Duggleby"/>
    <x v="1"/>
    <s v="Sunscreen SPF 30"/>
    <d v="2023-07-18T00:00:00"/>
    <d v="2023-07-20T00:00:00"/>
    <n v="5"/>
    <n v="4.75"/>
    <x v="0"/>
    <x v="5"/>
    <x v="2"/>
    <x v="1"/>
    <x v="1"/>
    <x v="3"/>
    <n v="2"/>
    <n v="23.75"/>
    <n v="13"/>
    <n v="10.75"/>
  </r>
  <r>
    <s v="ORD-0817"/>
    <s v="Vincenz MacDougal"/>
    <x v="4"/>
    <s v="Gentle Cleanser"/>
    <d v="2023-09-20T00:00:00"/>
    <d v="2023-09-26T00:00:00"/>
    <n v="3"/>
    <n v="3"/>
    <x v="0"/>
    <x v="0"/>
    <x v="2"/>
    <x v="1"/>
    <x v="10"/>
    <x v="4"/>
    <n v="6"/>
    <n v="9"/>
    <n v="4"/>
    <n v="5"/>
  </r>
  <r>
    <s v="ORD-0818"/>
    <s v="Rutter Fessier"/>
    <x v="1"/>
    <s v="Matte Sunscreen"/>
    <d v="2024-07-01T00:00:00"/>
    <d v="2024-07-05T00:00:00"/>
    <n v="2"/>
    <n v="5.25"/>
    <x v="1"/>
    <x v="0"/>
    <x v="2"/>
    <x v="0"/>
    <x v="1"/>
    <x v="2"/>
    <n v="4"/>
    <n v="10.5"/>
    <n v="6"/>
    <n v="4.5"/>
  </r>
  <r>
    <s v="ORD-0819"/>
    <s v="Zackariah Scamel"/>
    <x v="2"/>
    <s v="Vitamin C Serum"/>
    <d v="2024-05-17T00:00:00"/>
    <d v="2024-05-21T00:00:00"/>
    <n v="1"/>
    <n v="8.5"/>
    <x v="0"/>
    <x v="3"/>
    <x v="1"/>
    <x v="0"/>
    <x v="9"/>
    <x v="6"/>
    <n v="4"/>
    <n v="8.5"/>
    <n v="5"/>
    <n v="3.5"/>
  </r>
  <r>
    <s v="ORD-0820"/>
    <s v="Faye Sturch"/>
    <x v="2"/>
    <s v="Vitamin C Serum"/>
    <d v="2023-07-28T00:00:00"/>
    <d v="2023-07-30T00:00:00"/>
    <n v="1"/>
    <n v="8.5"/>
    <x v="1"/>
    <x v="5"/>
    <x v="1"/>
    <x v="1"/>
    <x v="1"/>
    <x v="6"/>
    <n v="2"/>
    <n v="8.5"/>
    <n v="5"/>
    <n v="3.5"/>
  </r>
  <r>
    <s v="ORD-0821"/>
    <s v="Elinore Jameson"/>
    <x v="2"/>
    <s v="Vitamin C Serum"/>
    <d v="2024-07-21T00:00:00"/>
    <d v="2024-07-27T00:00:00"/>
    <n v="5"/>
    <n v="8.5"/>
    <x v="1"/>
    <x v="5"/>
    <x v="0"/>
    <x v="0"/>
    <x v="1"/>
    <x v="1"/>
    <n v="6"/>
    <n v="42.5"/>
    <n v="26"/>
    <n v="16.5"/>
  </r>
  <r>
    <s v="ORD-0822"/>
    <s v="Maddie Cliss"/>
    <x v="1"/>
    <s v="Sensitive Sunscreen"/>
    <d v="2023-08-02T00:00:00"/>
    <d v="2023-08-08T00:00:00"/>
    <n v="2"/>
    <n v="5.5"/>
    <x v="0"/>
    <x v="0"/>
    <x v="2"/>
    <x v="1"/>
    <x v="5"/>
    <x v="4"/>
    <n v="6"/>
    <n v="11"/>
    <n v="7"/>
    <n v="4"/>
  </r>
  <r>
    <s v="ORD-0823"/>
    <s v="Aubry Hupka"/>
    <x v="0"/>
    <s v="Daily Moisturizer"/>
    <d v="2024-03-12T00:00:00"/>
    <d v="2024-03-18T00:00:00"/>
    <n v="4"/>
    <n v="5.5"/>
    <x v="0"/>
    <x v="3"/>
    <x v="1"/>
    <x v="0"/>
    <x v="0"/>
    <x v="3"/>
    <n v="6"/>
    <n v="22"/>
    <n v="11"/>
    <n v="11"/>
  </r>
  <r>
    <s v="ORD-0824"/>
    <s v="Daria Piotrkowski"/>
    <x v="1"/>
    <s v="Sensitive Sunscreen"/>
    <d v="2024-07-03T00:00:00"/>
    <d v="2024-07-06T00:00:00"/>
    <n v="2"/>
    <n v="5.5"/>
    <x v="0"/>
    <x v="5"/>
    <x v="1"/>
    <x v="0"/>
    <x v="1"/>
    <x v="4"/>
    <n v="3"/>
    <n v="11"/>
    <n v="7"/>
    <n v="4"/>
  </r>
  <r>
    <s v="ORD-0825"/>
    <s v="Kipp Wolton"/>
    <x v="2"/>
    <s v="Niacinamide Serum"/>
    <d v="2024-10-10T00:00:00"/>
    <d v="2024-10-19T00:00:00"/>
    <n v="5"/>
    <n v="8"/>
    <x v="0"/>
    <x v="0"/>
    <x v="2"/>
    <x v="0"/>
    <x v="7"/>
    <x v="5"/>
    <n v="9"/>
    <n v="40"/>
    <n v="23"/>
    <n v="17"/>
  </r>
  <r>
    <s v="ORD-0826"/>
    <s v="Ekaterina Gynne"/>
    <x v="3"/>
    <s v="Soothing Toner"/>
    <d v="2024-01-12T00:00:00"/>
    <d v="2024-01-19T00:00:00"/>
    <n v="3"/>
    <n v="4.75"/>
    <x v="0"/>
    <x v="1"/>
    <x v="2"/>
    <x v="0"/>
    <x v="11"/>
    <x v="6"/>
    <n v="7"/>
    <n v="14.25"/>
    <n v="8"/>
    <n v="6.25"/>
  </r>
  <r>
    <s v="ORD-0827"/>
    <s v="Codi Ashbe"/>
    <x v="0"/>
    <s v="Repair Cream"/>
    <d v="2023-07-30T00:00:00"/>
    <d v="2023-08-08T00:00:00"/>
    <n v="4"/>
    <n v="6.25"/>
    <x v="0"/>
    <x v="0"/>
    <x v="0"/>
    <x v="1"/>
    <x v="1"/>
    <x v="1"/>
    <n v="9"/>
    <n v="25"/>
    <n v="14"/>
    <n v="11"/>
  </r>
  <r>
    <s v="ORD-0828"/>
    <s v="Glory De Lorenzo"/>
    <x v="0"/>
    <s v="Night Cream"/>
    <d v="2024-03-03T00:00:00"/>
    <d v="2024-03-12T00:00:00"/>
    <n v="5"/>
    <n v="6.5"/>
    <x v="0"/>
    <x v="0"/>
    <x v="2"/>
    <x v="0"/>
    <x v="0"/>
    <x v="1"/>
    <n v="9"/>
    <n v="32.5"/>
    <n v="19"/>
    <n v="13.5"/>
  </r>
  <r>
    <s v="ORD-0829"/>
    <s v="Josy Tee"/>
    <x v="2"/>
    <s v="Retinol Serum"/>
    <d v="2024-01-28T00:00:00"/>
    <d v="2024-02-03T00:00:00"/>
    <n v="1"/>
    <n v="10"/>
    <x v="0"/>
    <x v="0"/>
    <x v="2"/>
    <x v="0"/>
    <x v="11"/>
    <x v="1"/>
    <n v="6"/>
    <n v="10"/>
    <n v="7"/>
    <n v="3"/>
  </r>
  <r>
    <s v="ORD-0830"/>
    <s v="Quint Codeman"/>
    <x v="1"/>
    <s v="Matte Sunscreen"/>
    <d v="2024-03-04T00:00:00"/>
    <d v="2024-03-06T00:00:00"/>
    <n v="5"/>
    <n v="5.25"/>
    <x v="0"/>
    <x v="0"/>
    <x v="2"/>
    <x v="0"/>
    <x v="0"/>
    <x v="2"/>
    <n v="2"/>
    <n v="26.25"/>
    <n v="15"/>
    <n v="11.25"/>
  </r>
  <r>
    <s v="ORD-0831"/>
    <s v="Isidoro Bracknell"/>
    <x v="2"/>
    <s v="Vitamin C Serum"/>
    <d v="2023-11-07T00:00:00"/>
    <d v="2023-11-09T00:00:00"/>
    <n v="2"/>
    <n v="8.5"/>
    <x v="0"/>
    <x v="0"/>
    <x v="2"/>
    <x v="1"/>
    <x v="2"/>
    <x v="3"/>
    <n v="2"/>
    <n v="17"/>
    <n v="10"/>
    <n v="7"/>
  </r>
  <r>
    <s v="ORD-0832"/>
    <s v="Juanita Moggach"/>
    <x v="1"/>
    <s v="Sensitive Sunscreen"/>
    <d v="2024-08-10T00:00:00"/>
    <d v="2024-08-11T00:00:00"/>
    <n v="3"/>
    <n v="5.5"/>
    <x v="0"/>
    <x v="2"/>
    <x v="2"/>
    <x v="0"/>
    <x v="5"/>
    <x v="0"/>
    <n v="1"/>
    <n v="16.5"/>
    <n v="10"/>
    <n v="6.5"/>
  </r>
  <r>
    <s v="ORD-0833"/>
    <s v="Venus Larrosa"/>
    <x v="1"/>
    <s v="Sunscreen SPF 50"/>
    <d v="2024-05-06T00:00:00"/>
    <d v="2024-05-08T00:00:00"/>
    <n v="1"/>
    <n v="5"/>
    <x v="0"/>
    <x v="0"/>
    <x v="2"/>
    <x v="0"/>
    <x v="9"/>
    <x v="2"/>
    <n v="2"/>
    <n v="5"/>
    <n v="3"/>
    <n v="2"/>
  </r>
  <r>
    <s v="ORD-0834"/>
    <s v="Joletta Warcop"/>
    <x v="1"/>
    <s v="Sunscreen SPF 50"/>
    <d v="2024-08-14T00:00:00"/>
    <d v="2024-08-17T00:00:00"/>
    <n v="4"/>
    <n v="5"/>
    <x v="0"/>
    <x v="5"/>
    <x v="0"/>
    <x v="0"/>
    <x v="5"/>
    <x v="4"/>
    <n v="3"/>
    <n v="20"/>
    <n v="11"/>
    <n v="9"/>
  </r>
  <r>
    <s v="ORD-0835"/>
    <s v="Maryl Clubley"/>
    <x v="3"/>
    <s v="Soothing Toner"/>
    <d v="2023-07-11T00:00:00"/>
    <d v="2023-07-16T00:00:00"/>
    <n v="1"/>
    <n v="4.75"/>
    <x v="0"/>
    <x v="0"/>
    <x v="0"/>
    <x v="1"/>
    <x v="1"/>
    <x v="3"/>
    <n v="5"/>
    <n v="4.75"/>
    <n v="3"/>
    <n v="1.75"/>
  </r>
  <r>
    <s v="ORD-0836"/>
    <s v="Drucy Letty"/>
    <x v="4"/>
    <s v="Brightening Cleanser"/>
    <d v="2023-08-12T00:00:00"/>
    <d v="2023-08-14T00:00:00"/>
    <n v="1"/>
    <n v="3.75"/>
    <x v="0"/>
    <x v="0"/>
    <x v="2"/>
    <x v="1"/>
    <x v="5"/>
    <x v="0"/>
    <n v="2"/>
    <n v="3.75"/>
    <n v="2"/>
    <n v="1.75"/>
  </r>
  <r>
    <s v="ORD-0837"/>
    <s v="Ilise Ducastel"/>
    <x v="2"/>
    <s v="Retinol Serum"/>
    <d v="2023-08-06T00:00:00"/>
    <d v="2023-08-14T00:00:00"/>
    <n v="1"/>
    <n v="10"/>
    <x v="0"/>
    <x v="0"/>
    <x v="0"/>
    <x v="1"/>
    <x v="5"/>
    <x v="1"/>
    <n v="8"/>
    <n v="10"/>
    <n v="7"/>
    <n v="3"/>
  </r>
  <r>
    <s v="ORD-0838"/>
    <s v="Edithe Mitchall"/>
    <x v="3"/>
    <s v="Hydrating Toner"/>
    <d v="2024-01-20T00:00:00"/>
    <d v="2024-01-23T00:00:00"/>
    <n v="1"/>
    <n v="4.25"/>
    <x v="0"/>
    <x v="1"/>
    <x v="2"/>
    <x v="0"/>
    <x v="11"/>
    <x v="0"/>
    <n v="3"/>
    <n v="4.25"/>
    <n v="2"/>
    <n v="2.25"/>
  </r>
  <r>
    <s v="ORD-0839"/>
    <s v="Orson Masselin"/>
    <x v="4"/>
    <s v="Brightening Cleanser"/>
    <d v="2024-06-05T00:00:00"/>
    <d v="2024-06-07T00:00:00"/>
    <n v="1"/>
    <n v="3.75"/>
    <x v="1"/>
    <x v="1"/>
    <x v="0"/>
    <x v="0"/>
    <x v="4"/>
    <x v="4"/>
    <n v="2"/>
    <n v="3.75"/>
    <n v="2"/>
    <n v="1.75"/>
  </r>
  <r>
    <s v="ORD-0840"/>
    <s v="Jacobo Whitely"/>
    <x v="3"/>
    <s v="Acne Toner"/>
    <d v="2023-10-16T00:00:00"/>
    <d v="2023-10-18T00:00:00"/>
    <n v="5"/>
    <n v="4.5"/>
    <x v="0"/>
    <x v="0"/>
    <x v="2"/>
    <x v="1"/>
    <x v="7"/>
    <x v="2"/>
    <n v="2"/>
    <n v="22.5"/>
    <n v="11"/>
    <n v="11.5"/>
  </r>
  <r>
    <s v="ORD-0841"/>
    <s v="Vita Stroban"/>
    <x v="4"/>
    <s v="Acne Cleanser"/>
    <d v="2024-09-20T00:00:00"/>
    <d v="2024-09-23T00:00:00"/>
    <n v="2"/>
    <n v="3.5"/>
    <x v="0"/>
    <x v="0"/>
    <x v="0"/>
    <x v="0"/>
    <x v="10"/>
    <x v="6"/>
    <n v="3"/>
    <n v="7"/>
    <n v="3"/>
    <n v="4"/>
  </r>
  <r>
    <s v="ORD-0842"/>
    <s v="Delmar Swepson"/>
    <x v="3"/>
    <s v="Brightening Toner"/>
    <d v="2024-05-29T00:00:00"/>
    <d v="2024-06-06T00:00:00"/>
    <n v="1"/>
    <n v="4.5"/>
    <x v="0"/>
    <x v="0"/>
    <x v="2"/>
    <x v="0"/>
    <x v="9"/>
    <x v="4"/>
    <n v="8"/>
    <n v="4.5"/>
    <n v="2"/>
    <n v="2.5"/>
  </r>
  <r>
    <s v="ORD-0843"/>
    <s v="Felice Alastair"/>
    <x v="3"/>
    <s v="Hydrating Toner"/>
    <d v="2024-09-23T00:00:00"/>
    <d v="2024-09-25T00:00:00"/>
    <n v="3"/>
    <n v="4.25"/>
    <x v="0"/>
    <x v="2"/>
    <x v="2"/>
    <x v="0"/>
    <x v="10"/>
    <x v="2"/>
    <n v="2"/>
    <n v="12.75"/>
    <n v="6"/>
    <n v="6.75"/>
  </r>
  <r>
    <s v="ORD-0844"/>
    <s v="Cate Asher"/>
    <x v="2"/>
    <s v="Vitamin C Serum"/>
    <d v="2023-10-25T00:00:00"/>
    <d v="2023-10-29T00:00:00"/>
    <n v="5"/>
    <n v="8.5"/>
    <x v="0"/>
    <x v="0"/>
    <x v="1"/>
    <x v="1"/>
    <x v="7"/>
    <x v="4"/>
    <n v="4"/>
    <n v="42.5"/>
    <n v="26"/>
    <n v="16.5"/>
  </r>
  <r>
    <s v="ORD-0845"/>
    <s v="Elicia Blampey"/>
    <x v="2"/>
    <s v="Retinol Serum"/>
    <d v="2024-05-07T00:00:00"/>
    <d v="2024-05-08T00:00:00"/>
    <n v="1"/>
    <n v="10"/>
    <x v="0"/>
    <x v="0"/>
    <x v="2"/>
    <x v="0"/>
    <x v="9"/>
    <x v="3"/>
    <n v="1"/>
    <n v="10"/>
    <n v="7"/>
    <n v="3"/>
  </r>
  <r>
    <s v="ORD-0846"/>
    <s v="Kizzie Tyrer"/>
    <x v="0"/>
    <s v="Gel Moisturizer"/>
    <d v="2023-08-06T00:00:00"/>
    <d v="2023-08-10T00:00:00"/>
    <n v="2"/>
    <n v="5.75"/>
    <x v="0"/>
    <x v="0"/>
    <x v="2"/>
    <x v="1"/>
    <x v="5"/>
    <x v="1"/>
    <n v="4"/>
    <n v="11.5"/>
    <n v="6"/>
    <n v="5.5"/>
  </r>
  <r>
    <s v="ORD-0847"/>
    <s v="Jocko Osgerby"/>
    <x v="3"/>
    <s v="Hydrating Toner"/>
    <d v="2023-08-20T00:00:00"/>
    <d v="2023-08-24T00:00:00"/>
    <n v="1"/>
    <n v="4.25"/>
    <x v="0"/>
    <x v="3"/>
    <x v="2"/>
    <x v="1"/>
    <x v="5"/>
    <x v="1"/>
    <n v="4"/>
    <n v="4.25"/>
    <n v="2"/>
    <n v="2.25"/>
  </r>
  <r>
    <s v="ORD-0848"/>
    <s v="Ardyth Raycroft"/>
    <x v="0"/>
    <s v="Night Cream"/>
    <d v="2024-04-03T00:00:00"/>
    <d v="2024-04-07T00:00:00"/>
    <n v="5"/>
    <n v="6.5"/>
    <x v="0"/>
    <x v="3"/>
    <x v="0"/>
    <x v="0"/>
    <x v="6"/>
    <x v="4"/>
    <n v="4"/>
    <n v="32.5"/>
    <n v="19"/>
    <n v="13.5"/>
  </r>
  <r>
    <s v="ORD-0849"/>
    <s v="Malcolm Canaan"/>
    <x v="2"/>
    <s v="Retinol Serum"/>
    <d v="2024-01-23T00:00:00"/>
    <d v="2024-02-06T00:00:00"/>
    <n v="2"/>
    <n v="10"/>
    <x v="0"/>
    <x v="0"/>
    <x v="2"/>
    <x v="0"/>
    <x v="11"/>
    <x v="3"/>
    <n v="14"/>
    <n v="20"/>
    <n v="13"/>
    <n v="7"/>
  </r>
  <r>
    <s v="ORD-0850"/>
    <s v="Kent Kielt"/>
    <x v="3"/>
    <s v="Acne Toner"/>
    <d v="2023-07-28T00:00:00"/>
    <d v="2023-08-03T00:00:00"/>
    <n v="2"/>
    <n v="4.5"/>
    <x v="0"/>
    <x v="3"/>
    <x v="1"/>
    <x v="1"/>
    <x v="1"/>
    <x v="6"/>
    <n v="6"/>
    <n v="9"/>
    <n v="5"/>
    <n v="4"/>
  </r>
  <r>
    <s v="ORD-0851"/>
    <s v="Duffy Ramos"/>
    <x v="4"/>
    <s v="Acne Cleanser"/>
    <d v="2023-11-06T00:00:00"/>
    <d v="2023-11-17T00:00:00"/>
    <n v="5"/>
    <n v="3.5"/>
    <x v="0"/>
    <x v="5"/>
    <x v="1"/>
    <x v="1"/>
    <x v="2"/>
    <x v="2"/>
    <n v="11"/>
    <n v="17.5"/>
    <n v="8"/>
    <n v="9.5"/>
  </r>
  <r>
    <s v="ORD-0852"/>
    <s v="Salomo Raynard"/>
    <x v="4"/>
    <s v="Brightening Cleanser"/>
    <d v="2023-11-23T00:00:00"/>
    <d v="2023-11-25T00:00:00"/>
    <n v="1"/>
    <n v="3.75"/>
    <x v="0"/>
    <x v="1"/>
    <x v="2"/>
    <x v="1"/>
    <x v="2"/>
    <x v="5"/>
    <n v="2"/>
    <n v="3.75"/>
    <n v="2"/>
    <n v="1.75"/>
  </r>
  <r>
    <s v="ORD-0853"/>
    <s v="Gert Latter"/>
    <x v="1"/>
    <s v="Sunscreen SPF 50"/>
    <d v="2024-05-28T00:00:00"/>
    <d v="2024-05-30T00:00:00"/>
    <n v="5"/>
    <n v="5"/>
    <x v="1"/>
    <x v="0"/>
    <x v="2"/>
    <x v="0"/>
    <x v="9"/>
    <x v="3"/>
    <n v="2"/>
    <n v="25"/>
    <n v="14"/>
    <n v="11"/>
  </r>
  <r>
    <s v="ORD-0854"/>
    <s v="Margy Calliss"/>
    <x v="3"/>
    <s v="Brightening Toner"/>
    <d v="2024-06-03T00:00:00"/>
    <d v="2024-06-09T00:00:00"/>
    <n v="3"/>
    <n v="4.5"/>
    <x v="1"/>
    <x v="5"/>
    <x v="1"/>
    <x v="0"/>
    <x v="4"/>
    <x v="2"/>
    <n v="6"/>
    <n v="13.5"/>
    <n v="7"/>
    <n v="6.5"/>
  </r>
  <r>
    <s v="ORD-0855"/>
    <s v="Broddie Glassford"/>
    <x v="2"/>
    <s v="Retinol Serum"/>
    <d v="2024-08-29T00:00:00"/>
    <d v="2024-09-04T00:00:00"/>
    <n v="5"/>
    <n v="10"/>
    <x v="0"/>
    <x v="1"/>
    <x v="2"/>
    <x v="0"/>
    <x v="5"/>
    <x v="5"/>
    <n v="6"/>
    <n v="50"/>
    <n v="33"/>
    <n v="17"/>
  </r>
  <r>
    <s v="ORD-0856"/>
    <s v="Diannne Rosbottom"/>
    <x v="3"/>
    <s v="Brightening Toner"/>
    <d v="2024-03-03T00:00:00"/>
    <d v="2024-03-04T00:00:00"/>
    <n v="4"/>
    <n v="4.5"/>
    <x v="0"/>
    <x v="0"/>
    <x v="0"/>
    <x v="0"/>
    <x v="0"/>
    <x v="1"/>
    <n v="1"/>
    <n v="18"/>
    <n v="9"/>
    <n v="9"/>
  </r>
  <r>
    <s v="ORD-0857"/>
    <s v="Yolanthe Hocking"/>
    <x v="1"/>
    <s v="Sensitive Sunscreen"/>
    <d v="2023-10-07T00:00:00"/>
    <d v="2023-10-10T00:00:00"/>
    <n v="4"/>
    <n v="5.5"/>
    <x v="0"/>
    <x v="3"/>
    <x v="2"/>
    <x v="1"/>
    <x v="7"/>
    <x v="0"/>
    <n v="3"/>
    <n v="22"/>
    <n v="13"/>
    <n v="9"/>
  </r>
  <r>
    <s v="ORD-0858"/>
    <s v="Margeaux Gillmore"/>
    <x v="3"/>
    <s v="Brightening Toner"/>
    <d v="2024-09-07T00:00:00"/>
    <d v="2024-09-09T00:00:00"/>
    <n v="2"/>
    <n v="4.5"/>
    <x v="0"/>
    <x v="4"/>
    <x v="2"/>
    <x v="0"/>
    <x v="10"/>
    <x v="0"/>
    <n v="2"/>
    <n v="9"/>
    <n v="5"/>
    <n v="4"/>
  </r>
  <r>
    <s v="ORD-0859"/>
    <s v="Rufe Gilhouley"/>
    <x v="4"/>
    <s v="Gentle Cleanser"/>
    <d v="2023-07-05T00:00:00"/>
    <d v="2023-07-08T00:00:00"/>
    <n v="1"/>
    <n v="3"/>
    <x v="0"/>
    <x v="1"/>
    <x v="1"/>
    <x v="1"/>
    <x v="1"/>
    <x v="4"/>
    <n v="3"/>
    <n v="3"/>
    <n v="1"/>
    <n v="2"/>
  </r>
  <r>
    <s v="ORD-0860"/>
    <s v="Breanne Zoren"/>
    <x v="1"/>
    <s v="Sunscreen SPF 50"/>
    <d v="2024-05-31T00:00:00"/>
    <d v="2024-06-01T00:00:00"/>
    <n v="5"/>
    <n v="5"/>
    <x v="0"/>
    <x v="0"/>
    <x v="2"/>
    <x v="0"/>
    <x v="9"/>
    <x v="6"/>
    <n v="1"/>
    <n v="25"/>
    <n v="14"/>
    <n v="11"/>
  </r>
  <r>
    <s v="ORD-0861"/>
    <s v="Calhoun Dinneen"/>
    <x v="0"/>
    <s v="Gel Moisturizer"/>
    <d v="2023-09-23T00:00:00"/>
    <d v="2023-09-24T00:00:00"/>
    <n v="1"/>
    <n v="5.75"/>
    <x v="0"/>
    <x v="1"/>
    <x v="0"/>
    <x v="1"/>
    <x v="10"/>
    <x v="0"/>
    <n v="1"/>
    <n v="5.75"/>
    <n v="3"/>
    <n v="2.75"/>
  </r>
  <r>
    <s v="ORD-0862"/>
    <s v="Jaimie Knappen"/>
    <x v="0"/>
    <s v="Night Cream"/>
    <d v="2024-03-22T00:00:00"/>
    <d v="2024-03-23T00:00:00"/>
    <n v="2"/>
    <n v="6.5"/>
    <x v="0"/>
    <x v="5"/>
    <x v="1"/>
    <x v="0"/>
    <x v="0"/>
    <x v="6"/>
    <n v="1"/>
    <n v="13"/>
    <n v="8"/>
    <n v="5"/>
  </r>
  <r>
    <s v="ORD-0863"/>
    <s v="Christiana Palliser"/>
    <x v="3"/>
    <s v="Hydrating Toner"/>
    <d v="2023-09-24T00:00:00"/>
    <d v="2023-09-26T00:00:00"/>
    <n v="5"/>
    <n v="4.25"/>
    <x v="0"/>
    <x v="1"/>
    <x v="2"/>
    <x v="1"/>
    <x v="10"/>
    <x v="1"/>
    <n v="2"/>
    <n v="21.25"/>
    <n v="10"/>
    <n v="11.25"/>
  </r>
  <r>
    <s v="ORD-0864"/>
    <s v="Aeriel Matiebe"/>
    <x v="2"/>
    <s v="Retinol Serum"/>
    <d v="2024-07-24T00:00:00"/>
    <d v="2024-07-31T00:00:00"/>
    <n v="4"/>
    <n v="10"/>
    <x v="0"/>
    <x v="0"/>
    <x v="1"/>
    <x v="0"/>
    <x v="1"/>
    <x v="4"/>
    <n v="7"/>
    <n v="40"/>
    <n v="26"/>
    <n v="14"/>
  </r>
  <r>
    <s v="ORD-0865"/>
    <s v="Krysta Shevell"/>
    <x v="4"/>
    <s v="Gentle Cleanser"/>
    <d v="2024-08-13T00:00:00"/>
    <d v="2024-08-14T00:00:00"/>
    <n v="5"/>
    <n v="3"/>
    <x v="0"/>
    <x v="2"/>
    <x v="2"/>
    <x v="0"/>
    <x v="5"/>
    <x v="3"/>
    <n v="1"/>
    <n v="15"/>
    <n v="7"/>
    <n v="8"/>
  </r>
  <r>
    <s v="ORD-0866"/>
    <s v="Brennen Winter"/>
    <x v="1"/>
    <s v="Sunscreen SPF 50"/>
    <d v="2024-04-03T00:00:00"/>
    <d v="2024-04-04T00:00:00"/>
    <n v="5"/>
    <n v="5"/>
    <x v="1"/>
    <x v="0"/>
    <x v="2"/>
    <x v="0"/>
    <x v="6"/>
    <x v="4"/>
    <n v="1"/>
    <n v="25"/>
    <n v="14"/>
    <n v="11"/>
  </r>
  <r>
    <s v="ORD-0867"/>
    <s v="Ange Piser"/>
    <x v="2"/>
    <s v="Retinol Serum"/>
    <d v="2024-07-05T00:00:00"/>
    <d v="2024-07-10T00:00:00"/>
    <n v="4"/>
    <n v="10"/>
    <x v="0"/>
    <x v="1"/>
    <x v="2"/>
    <x v="0"/>
    <x v="1"/>
    <x v="6"/>
    <n v="5"/>
    <n v="40"/>
    <n v="26"/>
    <n v="14"/>
  </r>
  <r>
    <s v="ORD-0868"/>
    <s v="Herschel Caush"/>
    <x v="0"/>
    <s v="Repair Cream"/>
    <d v="2024-07-29T00:00:00"/>
    <d v="2024-07-31T00:00:00"/>
    <n v="3"/>
    <n v="6.25"/>
    <x v="0"/>
    <x v="0"/>
    <x v="0"/>
    <x v="0"/>
    <x v="1"/>
    <x v="2"/>
    <n v="2"/>
    <n v="18.75"/>
    <n v="10"/>
    <n v="8.75"/>
  </r>
  <r>
    <s v="ORD-0869"/>
    <s v="Joy Claringbold"/>
    <x v="4"/>
    <s v="Gentle Cleanser"/>
    <d v="2024-09-29T00:00:00"/>
    <d v="2024-09-30T00:00:00"/>
    <n v="4"/>
    <n v="3"/>
    <x v="0"/>
    <x v="0"/>
    <x v="2"/>
    <x v="0"/>
    <x v="10"/>
    <x v="1"/>
    <n v="1"/>
    <n v="12"/>
    <n v="6"/>
    <n v="6"/>
  </r>
  <r>
    <s v="ORD-0870"/>
    <s v="Trenna Littlekit"/>
    <x v="4"/>
    <s v="Brightening Cleanser"/>
    <d v="2023-07-04T00:00:00"/>
    <d v="2023-07-08T00:00:00"/>
    <n v="2"/>
    <n v="3.75"/>
    <x v="0"/>
    <x v="0"/>
    <x v="2"/>
    <x v="1"/>
    <x v="1"/>
    <x v="3"/>
    <n v="4"/>
    <n v="7.5"/>
    <n v="4"/>
    <n v="3.5"/>
  </r>
  <r>
    <s v="ORD-0871"/>
    <s v="Lewiss Apark"/>
    <x v="2"/>
    <s v="Retinol Serum"/>
    <d v="2023-10-28T00:00:00"/>
    <d v="2023-11-02T00:00:00"/>
    <n v="3"/>
    <n v="10"/>
    <x v="1"/>
    <x v="3"/>
    <x v="2"/>
    <x v="1"/>
    <x v="7"/>
    <x v="0"/>
    <n v="5"/>
    <n v="30"/>
    <n v="20"/>
    <n v="10"/>
  </r>
  <r>
    <s v="ORD-0872"/>
    <s v="Veronike Larkworthy"/>
    <x v="1"/>
    <s v="Matte Sunscreen"/>
    <d v="2024-02-11T00:00:00"/>
    <d v="2024-02-12T00:00:00"/>
    <n v="2"/>
    <n v="5.25"/>
    <x v="0"/>
    <x v="1"/>
    <x v="2"/>
    <x v="0"/>
    <x v="3"/>
    <x v="1"/>
    <n v="1"/>
    <n v="10.5"/>
    <n v="6"/>
    <n v="4.5"/>
  </r>
  <r>
    <s v="ORD-0873"/>
    <s v="Hadrian Ryves"/>
    <x v="2"/>
    <s v="Niacinamide Serum"/>
    <d v="2024-09-11T00:00:00"/>
    <d v="2024-09-17T00:00:00"/>
    <n v="3"/>
    <n v="8"/>
    <x v="1"/>
    <x v="0"/>
    <x v="1"/>
    <x v="0"/>
    <x v="10"/>
    <x v="4"/>
    <n v="6"/>
    <n v="24"/>
    <n v="14"/>
    <n v="10"/>
  </r>
  <r>
    <s v="ORD-0874"/>
    <s v="Agnese Robuchon"/>
    <x v="4"/>
    <s v="Gentle Cleanser"/>
    <d v="2023-07-15T00:00:00"/>
    <d v="2023-07-16T00:00:00"/>
    <n v="3"/>
    <n v="3"/>
    <x v="0"/>
    <x v="2"/>
    <x v="0"/>
    <x v="1"/>
    <x v="1"/>
    <x v="0"/>
    <n v="1"/>
    <n v="9"/>
    <n v="4"/>
    <n v="5"/>
  </r>
  <r>
    <s v="ORD-0875"/>
    <s v="Mandy Smewin"/>
    <x v="1"/>
    <s v="Sensitive Sunscreen"/>
    <d v="2023-11-17T00:00:00"/>
    <d v="2023-12-01T00:00:00"/>
    <n v="5"/>
    <n v="5.5"/>
    <x v="0"/>
    <x v="0"/>
    <x v="2"/>
    <x v="1"/>
    <x v="2"/>
    <x v="6"/>
    <n v="14"/>
    <n v="27.5"/>
    <n v="17"/>
    <n v="10.5"/>
  </r>
  <r>
    <s v="ORD-0876"/>
    <s v="Lennie Wainer"/>
    <x v="1"/>
    <s v="Matte Sunscreen"/>
    <d v="2023-09-10T00:00:00"/>
    <d v="2023-09-12T00:00:00"/>
    <n v="5"/>
    <n v="5.25"/>
    <x v="0"/>
    <x v="2"/>
    <x v="1"/>
    <x v="1"/>
    <x v="10"/>
    <x v="1"/>
    <n v="2"/>
    <n v="26.25"/>
    <n v="15"/>
    <n v="11.25"/>
  </r>
  <r>
    <s v="ORD-0877"/>
    <s v="Gabie Leadbitter"/>
    <x v="2"/>
    <s v="Hyaluronic Acid Serum"/>
    <d v="2024-03-07T00:00:00"/>
    <d v="2024-03-11T00:00:00"/>
    <n v="5"/>
    <n v="8.75"/>
    <x v="1"/>
    <x v="0"/>
    <x v="2"/>
    <x v="0"/>
    <x v="0"/>
    <x v="5"/>
    <n v="4"/>
    <n v="43.75"/>
    <n v="25"/>
    <n v="18.75"/>
  </r>
  <r>
    <s v="ORD-0878"/>
    <s v="Maryann Finnan"/>
    <x v="1"/>
    <s v="Sunscreen SPF 30"/>
    <d v="2024-07-11T00:00:00"/>
    <d v="2024-07-22T00:00:00"/>
    <n v="4"/>
    <n v="4.75"/>
    <x v="0"/>
    <x v="0"/>
    <x v="2"/>
    <x v="0"/>
    <x v="1"/>
    <x v="5"/>
    <n v="11"/>
    <n v="19"/>
    <n v="10"/>
    <n v="9"/>
  </r>
  <r>
    <s v="ORD-0879"/>
    <s v="Sutton Ridgley"/>
    <x v="3"/>
    <s v="Acne Toner"/>
    <d v="2023-10-29T00:00:00"/>
    <d v="2023-11-01T00:00:00"/>
    <n v="3"/>
    <n v="4.5"/>
    <x v="0"/>
    <x v="0"/>
    <x v="2"/>
    <x v="1"/>
    <x v="7"/>
    <x v="1"/>
    <n v="3"/>
    <n v="13.5"/>
    <n v="7"/>
    <n v="6.5"/>
  </r>
  <r>
    <s v="ORD-0880"/>
    <s v="Kiele Southcombe"/>
    <x v="0"/>
    <s v="Gel Moisturizer"/>
    <d v="2024-04-29T00:00:00"/>
    <d v="2024-05-03T00:00:00"/>
    <n v="1"/>
    <n v="5.75"/>
    <x v="0"/>
    <x v="0"/>
    <x v="2"/>
    <x v="0"/>
    <x v="6"/>
    <x v="2"/>
    <n v="4"/>
    <n v="5.75"/>
    <n v="3"/>
    <n v="2.75"/>
  </r>
  <r>
    <s v="ORD-0881"/>
    <s v="Joseph Benezet"/>
    <x v="2"/>
    <s v="Niacinamide Serum"/>
    <d v="2023-12-27T00:00:00"/>
    <d v="2023-12-28T00:00:00"/>
    <n v="4"/>
    <n v="8"/>
    <x v="0"/>
    <x v="0"/>
    <x v="0"/>
    <x v="1"/>
    <x v="8"/>
    <x v="4"/>
    <n v="1"/>
    <n v="32"/>
    <n v="19"/>
    <n v="13"/>
  </r>
  <r>
    <s v="ORD-0882"/>
    <s v="Audrye Calderon"/>
    <x v="4"/>
    <s v="Brightening Cleanser"/>
    <d v="2023-09-21T00:00:00"/>
    <d v="2023-09-23T00:00:00"/>
    <n v="3"/>
    <n v="3.75"/>
    <x v="1"/>
    <x v="0"/>
    <x v="0"/>
    <x v="1"/>
    <x v="10"/>
    <x v="5"/>
    <n v="2"/>
    <n v="11.25"/>
    <n v="6"/>
    <n v="5.25"/>
  </r>
  <r>
    <s v="ORD-0883"/>
    <s v="Sam Edgin"/>
    <x v="3"/>
    <s v="Acne Toner"/>
    <d v="2024-01-12T00:00:00"/>
    <d v="2024-01-14T00:00:00"/>
    <n v="3"/>
    <n v="4.5"/>
    <x v="0"/>
    <x v="5"/>
    <x v="1"/>
    <x v="0"/>
    <x v="11"/>
    <x v="6"/>
    <n v="2"/>
    <n v="13.5"/>
    <n v="7"/>
    <n v="6.5"/>
  </r>
  <r>
    <s v="ORD-0884"/>
    <s v="Marilin Willars"/>
    <x v="1"/>
    <s v="Sunscreen SPF 30"/>
    <d v="2023-10-28T00:00:00"/>
    <d v="2023-10-29T00:00:00"/>
    <n v="5"/>
    <n v="4.75"/>
    <x v="0"/>
    <x v="1"/>
    <x v="2"/>
    <x v="1"/>
    <x v="7"/>
    <x v="0"/>
    <n v="1"/>
    <n v="23.75"/>
    <n v="13"/>
    <n v="10.75"/>
  </r>
  <r>
    <s v="ORD-0885"/>
    <s v="Lula Hampshaw"/>
    <x v="4"/>
    <s v="Gentle Cleanser"/>
    <d v="2024-09-27T00:00:00"/>
    <d v="2024-09-30T00:00:00"/>
    <n v="1"/>
    <n v="3"/>
    <x v="0"/>
    <x v="0"/>
    <x v="2"/>
    <x v="0"/>
    <x v="10"/>
    <x v="6"/>
    <n v="3"/>
    <n v="3"/>
    <n v="1"/>
    <n v="2"/>
  </r>
  <r>
    <s v="ORD-0886"/>
    <s v="Cathy Troy"/>
    <x v="1"/>
    <s v="Matte Sunscreen"/>
    <d v="2024-04-18T00:00:00"/>
    <d v="2024-04-19T00:00:00"/>
    <n v="1"/>
    <n v="5.25"/>
    <x v="1"/>
    <x v="0"/>
    <x v="2"/>
    <x v="0"/>
    <x v="6"/>
    <x v="5"/>
    <n v="1"/>
    <n v="5.25"/>
    <n v="3"/>
    <n v="2.25"/>
  </r>
  <r>
    <s v="ORD-0887"/>
    <s v="Katy Callway"/>
    <x v="4"/>
    <s v="Gentle Cleanser"/>
    <d v="2024-10-03T00:00:00"/>
    <d v="2024-10-08T00:00:00"/>
    <n v="4"/>
    <n v="3"/>
    <x v="0"/>
    <x v="5"/>
    <x v="2"/>
    <x v="0"/>
    <x v="7"/>
    <x v="5"/>
    <n v="5"/>
    <n v="12"/>
    <n v="6"/>
    <n v="6"/>
  </r>
  <r>
    <s v="ORD-0888"/>
    <s v="Fredericka Sancroft"/>
    <x v="2"/>
    <s v="Niacinamide Serum"/>
    <d v="2023-08-30T00:00:00"/>
    <d v="2023-09-01T00:00:00"/>
    <n v="5"/>
    <n v="8"/>
    <x v="0"/>
    <x v="0"/>
    <x v="2"/>
    <x v="1"/>
    <x v="5"/>
    <x v="4"/>
    <n v="2"/>
    <n v="40"/>
    <n v="23"/>
    <n v="17"/>
  </r>
  <r>
    <s v="ORD-0889"/>
    <s v="Gan Trevallion"/>
    <x v="2"/>
    <s v="Retinol Serum"/>
    <d v="2024-05-02T00:00:00"/>
    <d v="2024-05-09T00:00:00"/>
    <n v="1"/>
    <n v="10"/>
    <x v="0"/>
    <x v="5"/>
    <x v="0"/>
    <x v="0"/>
    <x v="9"/>
    <x v="5"/>
    <n v="7"/>
    <n v="10"/>
    <n v="7"/>
    <n v="3"/>
  </r>
  <r>
    <s v="ORD-0890"/>
    <s v="Fianna Churchward"/>
    <x v="2"/>
    <s v="Vitamin C Serum"/>
    <d v="2024-06-25T00:00:00"/>
    <d v="2024-06-30T00:00:00"/>
    <n v="1"/>
    <n v="8.5"/>
    <x v="1"/>
    <x v="1"/>
    <x v="2"/>
    <x v="0"/>
    <x v="4"/>
    <x v="3"/>
    <n v="5"/>
    <n v="8.5"/>
    <n v="5"/>
    <n v="3.5"/>
  </r>
  <r>
    <s v="ORD-0891"/>
    <s v="Falkner Pudney"/>
    <x v="1"/>
    <s v="Matte Sunscreen"/>
    <d v="2023-07-22T00:00:00"/>
    <d v="2023-07-25T00:00:00"/>
    <n v="5"/>
    <n v="5.25"/>
    <x v="0"/>
    <x v="1"/>
    <x v="1"/>
    <x v="1"/>
    <x v="1"/>
    <x v="0"/>
    <n v="3"/>
    <n v="26.25"/>
    <n v="15"/>
    <n v="11.25"/>
  </r>
  <r>
    <s v="ORD-0892"/>
    <s v="Kessia Conner"/>
    <x v="4"/>
    <s v="Brightening Cleanser"/>
    <d v="2024-03-21T00:00:00"/>
    <d v="2024-03-23T00:00:00"/>
    <n v="1"/>
    <n v="3.75"/>
    <x v="0"/>
    <x v="5"/>
    <x v="2"/>
    <x v="0"/>
    <x v="0"/>
    <x v="5"/>
    <n v="2"/>
    <n v="3.75"/>
    <n v="2"/>
    <n v="1.75"/>
  </r>
  <r>
    <s v="ORD-0893"/>
    <s v="Cicily Strathern"/>
    <x v="3"/>
    <s v="Acne Toner"/>
    <d v="2024-07-26T00:00:00"/>
    <d v="2024-07-27T00:00:00"/>
    <n v="5"/>
    <n v="4.5"/>
    <x v="0"/>
    <x v="0"/>
    <x v="2"/>
    <x v="0"/>
    <x v="1"/>
    <x v="6"/>
    <n v="1"/>
    <n v="22.5"/>
    <n v="11"/>
    <n v="11.5"/>
  </r>
  <r>
    <s v="ORD-0894"/>
    <s v="Johnathan Hallwell"/>
    <x v="0"/>
    <s v="Daily Moisturizer"/>
    <d v="2024-03-25T00:00:00"/>
    <d v="2024-03-28T00:00:00"/>
    <n v="1"/>
    <n v="5.5"/>
    <x v="0"/>
    <x v="5"/>
    <x v="2"/>
    <x v="0"/>
    <x v="0"/>
    <x v="2"/>
    <n v="3"/>
    <n v="5.5"/>
    <n v="3"/>
    <n v="2.5"/>
  </r>
  <r>
    <s v="ORD-0895"/>
    <s v="Artemis Alans"/>
    <x v="1"/>
    <s v="Sensitive Sunscreen"/>
    <d v="2023-08-24T00:00:00"/>
    <d v="2023-08-27T00:00:00"/>
    <n v="2"/>
    <n v="5.5"/>
    <x v="0"/>
    <x v="1"/>
    <x v="1"/>
    <x v="1"/>
    <x v="5"/>
    <x v="5"/>
    <n v="3"/>
    <n v="11"/>
    <n v="7"/>
    <n v="4"/>
  </r>
  <r>
    <s v="ORD-0896"/>
    <s v="Brose Pareman"/>
    <x v="4"/>
    <s v="Acne Cleanser"/>
    <d v="2023-09-05T00:00:00"/>
    <d v="2023-09-15T00:00:00"/>
    <n v="3"/>
    <n v="3.5"/>
    <x v="0"/>
    <x v="0"/>
    <x v="2"/>
    <x v="1"/>
    <x v="10"/>
    <x v="3"/>
    <n v="10"/>
    <n v="10.5"/>
    <n v="5"/>
    <n v="5.5"/>
  </r>
  <r>
    <s v="ORD-0897"/>
    <s v="Clevie Besemer"/>
    <x v="3"/>
    <s v="Soothing Toner"/>
    <d v="2024-04-24T00:00:00"/>
    <d v="2024-04-26T00:00:00"/>
    <n v="3"/>
    <n v="4.75"/>
    <x v="0"/>
    <x v="5"/>
    <x v="0"/>
    <x v="0"/>
    <x v="6"/>
    <x v="4"/>
    <n v="2"/>
    <n v="14.25"/>
    <n v="8"/>
    <n v="6.25"/>
  </r>
  <r>
    <s v="ORD-0898"/>
    <s v="Vassili Kaubisch"/>
    <x v="4"/>
    <s v="Brightening Cleanser"/>
    <d v="2024-10-25T00:00:00"/>
    <d v="2024-10-28T00:00:00"/>
    <n v="2"/>
    <n v="3.75"/>
    <x v="0"/>
    <x v="0"/>
    <x v="1"/>
    <x v="0"/>
    <x v="7"/>
    <x v="6"/>
    <n v="3"/>
    <n v="7.5"/>
    <n v="4"/>
    <n v="3.5"/>
  </r>
  <r>
    <s v="ORD-0899"/>
    <s v="Derk Spelling"/>
    <x v="0"/>
    <s v="Repair Cream"/>
    <d v="2024-03-12T00:00:00"/>
    <d v="2024-03-16T00:00:00"/>
    <n v="1"/>
    <n v="6.25"/>
    <x v="0"/>
    <x v="5"/>
    <x v="0"/>
    <x v="0"/>
    <x v="0"/>
    <x v="3"/>
    <n v="4"/>
    <n v="6.25"/>
    <n v="3"/>
    <n v="3.25"/>
  </r>
  <r>
    <s v="ORD-0900"/>
    <s v="Maury Ashburner"/>
    <x v="4"/>
    <s v="Hydrating Cleanser"/>
    <d v="2023-10-10T00:00:00"/>
    <d v="2023-10-12T00:00:00"/>
    <n v="4"/>
    <n v="4"/>
    <x v="0"/>
    <x v="4"/>
    <x v="1"/>
    <x v="1"/>
    <x v="7"/>
    <x v="3"/>
    <n v="2"/>
    <n v="16"/>
    <n v="8"/>
    <n v="8"/>
  </r>
  <r>
    <s v="ORD-0901"/>
    <s v="Cchaddie Whitebrook"/>
    <x v="0"/>
    <s v="Gel Moisturizer"/>
    <d v="2023-08-26T00:00:00"/>
    <d v="2023-08-28T00:00:00"/>
    <n v="1"/>
    <n v="5.75"/>
    <x v="0"/>
    <x v="1"/>
    <x v="2"/>
    <x v="1"/>
    <x v="5"/>
    <x v="0"/>
    <n v="2"/>
    <n v="5.75"/>
    <n v="3"/>
    <n v="2.75"/>
  </r>
  <r>
    <s v="ORD-0902"/>
    <s v="Rayna Wace"/>
    <x v="4"/>
    <s v="Acne Cleanser"/>
    <d v="2024-04-02T00:00:00"/>
    <d v="2024-04-03T00:00:00"/>
    <n v="2"/>
    <n v="3.5"/>
    <x v="0"/>
    <x v="0"/>
    <x v="2"/>
    <x v="0"/>
    <x v="6"/>
    <x v="3"/>
    <n v="1"/>
    <n v="7"/>
    <n v="3"/>
    <n v="4"/>
  </r>
  <r>
    <s v="ORD-0903"/>
    <s v="Allyson Delcastel"/>
    <x v="3"/>
    <s v="Hydrating Toner"/>
    <d v="2024-07-07T00:00:00"/>
    <d v="2024-07-13T00:00:00"/>
    <n v="4"/>
    <n v="4.25"/>
    <x v="0"/>
    <x v="0"/>
    <x v="0"/>
    <x v="0"/>
    <x v="1"/>
    <x v="1"/>
    <n v="6"/>
    <n v="17"/>
    <n v="8"/>
    <n v="9"/>
  </r>
  <r>
    <s v="ORD-0904"/>
    <s v="Wilt Klawi"/>
    <x v="4"/>
    <s v="Gentle Cleanser"/>
    <d v="2024-08-06T00:00:00"/>
    <d v="2024-08-10T00:00:00"/>
    <n v="5"/>
    <n v="3"/>
    <x v="0"/>
    <x v="0"/>
    <x v="2"/>
    <x v="0"/>
    <x v="5"/>
    <x v="3"/>
    <n v="4"/>
    <n v="15"/>
    <n v="7"/>
    <n v="8"/>
  </r>
  <r>
    <s v="ORD-0905"/>
    <s v="Mirilla Van De Cappelle"/>
    <x v="2"/>
    <s v="Retinol Serum"/>
    <d v="2024-09-09T00:00:00"/>
    <d v="2024-09-16T00:00:00"/>
    <n v="5"/>
    <n v="10"/>
    <x v="0"/>
    <x v="0"/>
    <x v="2"/>
    <x v="0"/>
    <x v="10"/>
    <x v="2"/>
    <n v="7"/>
    <n v="50"/>
    <n v="33"/>
    <n v="17"/>
  </r>
  <r>
    <s v="ORD-0906"/>
    <s v="Mathew Yearnes"/>
    <x v="4"/>
    <s v="Hydrating Cleanser"/>
    <d v="2024-04-02T00:00:00"/>
    <d v="2024-04-09T00:00:00"/>
    <n v="4"/>
    <n v="4"/>
    <x v="1"/>
    <x v="0"/>
    <x v="0"/>
    <x v="0"/>
    <x v="6"/>
    <x v="3"/>
    <n v="7"/>
    <n v="16"/>
    <n v="8"/>
    <n v="8"/>
  </r>
  <r>
    <s v="ORD-0907"/>
    <s v="Dietrich Sawter"/>
    <x v="1"/>
    <s v="Matte Sunscreen"/>
    <d v="2024-06-03T00:00:00"/>
    <d v="2024-06-06T00:00:00"/>
    <n v="2"/>
    <n v="5.25"/>
    <x v="0"/>
    <x v="1"/>
    <x v="0"/>
    <x v="0"/>
    <x v="4"/>
    <x v="2"/>
    <n v="3"/>
    <n v="10.5"/>
    <n v="6"/>
    <n v="4.5"/>
  </r>
  <r>
    <s v="ORD-0908"/>
    <s v="Maris Collcott"/>
    <x v="4"/>
    <s v="Gentle Cleanser"/>
    <d v="2024-04-05T00:00:00"/>
    <d v="2024-04-09T00:00:00"/>
    <n v="5"/>
    <n v="3"/>
    <x v="0"/>
    <x v="5"/>
    <x v="2"/>
    <x v="0"/>
    <x v="6"/>
    <x v="6"/>
    <n v="4"/>
    <n v="15"/>
    <n v="7"/>
    <n v="8"/>
  </r>
  <r>
    <s v="ORD-0909"/>
    <s v="Chicky Rourke"/>
    <x v="3"/>
    <s v="Acne Toner"/>
    <d v="2024-07-11T00:00:00"/>
    <d v="2024-07-21T00:00:00"/>
    <n v="2"/>
    <n v="4.5"/>
    <x v="0"/>
    <x v="0"/>
    <x v="1"/>
    <x v="0"/>
    <x v="1"/>
    <x v="5"/>
    <n v="10"/>
    <n v="9"/>
    <n v="5"/>
    <n v="4"/>
  </r>
  <r>
    <s v="ORD-0910"/>
    <s v="Doti Berresford"/>
    <x v="3"/>
    <s v="Soothing Toner"/>
    <d v="2023-07-20T00:00:00"/>
    <d v="2023-07-21T00:00:00"/>
    <n v="1"/>
    <n v="4.75"/>
    <x v="0"/>
    <x v="5"/>
    <x v="2"/>
    <x v="1"/>
    <x v="1"/>
    <x v="5"/>
    <n v="1"/>
    <n v="4.75"/>
    <n v="3"/>
    <n v="1.75"/>
  </r>
  <r>
    <s v="ORD-0911"/>
    <s v="Barby Fludgate"/>
    <x v="4"/>
    <s v="Gentle Cleanser"/>
    <d v="2024-06-05T00:00:00"/>
    <d v="2024-06-09T00:00:00"/>
    <n v="2"/>
    <n v="3"/>
    <x v="0"/>
    <x v="5"/>
    <x v="2"/>
    <x v="0"/>
    <x v="4"/>
    <x v="4"/>
    <n v="4"/>
    <n v="6"/>
    <n v="3"/>
    <n v="3"/>
  </r>
  <r>
    <s v="ORD-0912"/>
    <s v="Marne Hackney"/>
    <x v="0"/>
    <s v="Night Cream"/>
    <d v="2023-11-26T00:00:00"/>
    <d v="2023-11-28T00:00:00"/>
    <n v="5"/>
    <n v="6.5"/>
    <x v="1"/>
    <x v="4"/>
    <x v="2"/>
    <x v="1"/>
    <x v="2"/>
    <x v="1"/>
    <n v="2"/>
    <n v="32.5"/>
    <n v="19"/>
    <n v="13.5"/>
  </r>
  <r>
    <s v="ORD-0913"/>
    <s v="Maury Matiashvili"/>
    <x v="2"/>
    <s v="Niacinamide Serum"/>
    <d v="2024-07-17T00:00:00"/>
    <d v="2024-07-21T00:00:00"/>
    <n v="4"/>
    <n v="8"/>
    <x v="0"/>
    <x v="5"/>
    <x v="2"/>
    <x v="0"/>
    <x v="1"/>
    <x v="4"/>
    <n v="4"/>
    <n v="32"/>
    <n v="19"/>
    <n v="13"/>
  </r>
  <r>
    <s v="ORD-0914"/>
    <s v="Alfie Reijmers"/>
    <x v="1"/>
    <s v="Sunscreen SPF 50"/>
    <d v="2024-02-21T00:00:00"/>
    <d v="2024-02-24T00:00:00"/>
    <n v="1"/>
    <n v="5"/>
    <x v="0"/>
    <x v="0"/>
    <x v="0"/>
    <x v="0"/>
    <x v="3"/>
    <x v="4"/>
    <n v="3"/>
    <n v="5"/>
    <n v="3"/>
    <n v="2"/>
  </r>
  <r>
    <s v="ORD-0915"/>
    <s v="Adolpho Labrum"/>
    <x v="4"/>
    <s v="Gentle Cleanser"/>
    <d v="2023-08-30T00:00:00"/>
    <d v="2023-09-04T00:00:00"/>
    <n v="2"/>
    <n v="3"/>
    <x v="0"/>
    <x v="0"/>
    <x v="0"/>
    <x v="1"/>
    <x v="5"/>
    <x v="4"/>
    <n v="5"/>
    <n v="6"/>
    <n v="3"/>
    <n v="3"/>
  </r>
  <r>
    <s v="ORD-0916"/>
    <s v="Val Week"/>
    <x v="2"/>
    <s v="Vitamin C Serum"/>
    <d v="2024-08-21T00:00:00"/>
    <d v="2024-08-22T00:00:00"/>
    <n v="4"/>
    <n v="8.5"/>
    <x v="0"/>
    <x v="2"/>
    <x v="2"/>
    <x v="0"/>
    <x v="5"/>
    <x v="4"/>
    <n v="1"/>
    <n v="34"/>
    <n v="20"/>
    <n v="14"/>
  </r>
  <r>
    <s v="ORD-0917"/>
    <s v="Nichols Basson"/>
    <x v="4"/>
    <s v="Acne Cleanser"/>
    <d v="2024-02-20T00:00:00"/>
    <d v="2024-02-22T00:00:00"/>
    <n v="2"/>
    <n v="3.5"/>
    <x v="0"/>
    <x v="3"/>
    <x v="2"/>
    <x v="0"/>
    <x v="3"/>
    <x v="3"/>
    <n v="2"/>
    <n v="7"/>
    <n v="3"/>
    <n v="4"/>
  </r>
  <r>
    <s v="ORD-0918"/>
    <s v="Donn Brayshay"/>
    <x v="3"/>
    <s v="Brightening Toner"/>
    <d v="2023-12-02T00:00:00"/>
    <d v="2023-12-06T00:00:00"/>
    <n v="1"/>
    <n v="4.5"/>
    <x v="0"/>
    <x v="0"/>
    <x v="2"/>
    <x v="1"/>
    <x v="8"/>
    <x v="0"/>
    <n v="4"/>
    <n v="4.5"/>
    <n v="2"/>
    <n v="2.5"/>
  </r>
  <r>
    <s v="ORD-0919"/>
    <s v="Lorrie Paxman"/>
    <x v="3"/>
    <s v="Hydrating Toner"/>
    <d v="2024-10-02T00:00:00"/>
    <d v="2024-10-04T00:00:00"/>
    <n v="3"/>
    <n v="4.25"/>
    <x v="0"/>
    <x v="0"/>
    <x v="2"/>
    <x v="0"/>
    <x v="7"/>
    <x v="4"/>
    <n v="2"/>
    <n v="12.75"/>
    <n v="6"/>
    <n v="6.75"/>
  </r>
  <r>
    <s v="ORD-0920"/>
    <s v="Rikki Van den Oord"/>
    <x v="4"/>
    <s v="Hydrating Cleanser"/>
    <d v="2024-01-30T00:00:00"/>
    <d v="2024-02-02T00:00:00"/>
    <n v="4"/>
    <n v="4"/>
    <x v="0"/>
    <x v="0"/>
    <x v="1"/>
    <x v="0"/>
    <x v="11"/>
    <x v="3"/>
    <n v="3"/>
    <n v="16"/>
    <n v="8"/>
    <n v="8"/>
  </r>
  <r>
    <s v="ORD-0921"/>
    <s v="Cobbie Rangeley"/>
    <x v="4"/>
    <s v="Hydrating Cleanser"/>
    <d v="2023-07-24T00:00:00"/>
    <d v="2023-07-25T00:00:00"/>
    <n v="4"/>
    <n v="4"/>
    <x v="0"/>
    <x v="0"/>
    <x v="2"/>
    <x v="1"/>
    <x v="1"/>
    <x v="2"/>
    <n v="1"/>
    <n v="16"/>
    <n v="8"/>
    <n v="8"/>
  </r>
  <r>
    <s v="ORD-0922"/>
    <s v="Peria Longhorne"/>
    <x v="4"/>
    <s v="Gentle Cleanser"/>
    <d v="2024-01-17T00:00:00"/>
    <d v="2024-01-23T00:00:00"/>
    <n v="4"/>
    <n v="3"/>
    <x v="1"/>
    <x v="2"/>
    <x v="2"/>
    <x v="0"/>
    <x v="11"/>
    <x v="4"/>
    <n v="6"/>
    <n v="12"/>
    <n v="6"/>
    <n v="6"/>
  </r>
  <r>
    <s v="ORD-0923"/>
    <s v="Karlie Bentame"/>
    <x v="0"/>
    <s v="Gel Moisturizer"/>
    <d v="2024-05-09T00:00:00"/>
    <d v="2024-05-11T00:00:00"/>
    <n v="5"/>
    <n v="5.75"/>
    <x v="0"/>
    <x v="0"/>
    <x v="2"/>
    <x v="0"/>
    <x v="9"/>
    <x v="5"/>
    <n v="2"/>
    <n v="28.75"/>
    <n v="14"/>
    <n v="14.75"/>
  </r>
  <r>
    <s v="ORD-0924"/>
    <s v="Rycca Dogg"/>
    <x v="2"/>
    <s v="Niacinamide Serum"/>
    <d v="2024-01-17T00:00:00"/>
    <d v="2024-01-19T00:00:00"/>
    <n v="1"/>
    <n v="8"/>
    <x v="0"/>
    <x v="1"/>
    <x v="2"/>
    <x v="0"/>
    <x v="11"/>
    <x v="4"/>
    <n v="2"/>
    <n v="8"/>
    <n v="5"/>
    <n v="3"/>
  </r>
  <r>
    <s v="ORD-0925"/>
    <s v="Meaghan Girardey"/>
    <x v="1"/>
    <s v="Sensitive Sunscreen"/>
    <d v="2024-04-17T00:00:00"/>
    <d v="2024-04-20T00:00:00"/>
    <n v="3"/>
    <n v="5.5"/>
    <x v="0"/>
    <x v="0"/>
    <x v="1"/>
    <x v="0"/>
    <x v="6"/>
    <x v="4"/>
    <n v="3"/>
    <n v="16.5"/>
    <n v="10"/>
    <n v="6.5"/>
  </r>
  <r>
    <s v="ORD-0926"/>
    <s v="Nathalia Bohlmann"/>
    <x v="0"/>
    <s v="Gel Moisturizer"/>
    <d v="2024-10-01T00:00:00"/>
    <d v="2024-10-05T00:00:00"/>
    <n v="5"/>
    <n v="5.75"/>
    <x v="0"/>
    <x v="0"/>
    <x v="1"/>
    <x v="0"/>
    <x v="7"/>
    <x v="3"/>
    <n v="4"/>
    <n v="28.75"/>
    <n v="14"/>
    <n v="14.75"/>
  </r>
  <r>
    <s v="ORD-0927"/>
    <s v="Conroy Cyples"/>
    <x v="2"/>
    <s v="Niacinamide Serum"/>
    <d v="2023-09-11T00:00:00"/>
    <d v="2023-09-12T00:00:00"/>
    <n v="1"/>
    <n v="8"/>
    <x v="0"/>
    <x v="1"/>
    <x v="0"/>
    <x v="1"/>
    <x v="10"/>
    <x v="2"/>
    <n v="1"/>
    <n v="8"/>
    <n v="5"/>
    <n v="3"/>
  </r>
  <r>
    <s v="ORD-0928"/>
    <s v="Saw Studd"/>
    <x v="4"/>
    <s v="Acne Cleanser"/>
    <d v="2024-03-04T00:00:00"/>
    <d v="2024-03-07T00:00:00"/>
    <n v="1"/>
    <n v="3.5"/>
    <x v="0"/>
    <x v="0"/>
    <x v="0"/>
    <x v="0"/>
    <x v="0"/>
    <x v="2"/>
    <n v="3"/>
    <n v="3.5"/>
    <n v="2"/>
    <n v="1.5"/>
  </r>
  <r>
    <s v="ORD-0929"/>
    <s v="Evangelia Coultish"/>
    <x v="2"/>
    <s v="Niacinamide Serum"/>
    <d v="2024-06-24T00:00:00"/>
    <d v="2024-07-08T00:00:00"/>
    <n v="5"/>
    <n v="8"/>
    <x v="0"/>
    <x v="0"/>
    <x v="0"/>
    <x v="0"/>
    <x v="4"/>
    <x v="2"/>
    <n v="14"/>
    <n v="40"/>
    <n v="23"/>
    <n v="17"/>
  </r>
  <r>
    <s v="ORD-0930"/>
    <s v="Adolphe Rowcliffe"/>
    <x v="0"/>
    <s v="Gel Moisturizer"/>
    <d v="2024-03-21T00:00:00"/>
    <d v="2024-03-24T00:00:00"/>
    <n v="2"/>
    <n v="5.75"/>
    <x v="0"/>
    <x v="3"/>
    <x v="0"/>
    <x v="0"/>
    <x v="0"/>
    <x v="5"/>
    <n v="3"/>
    <n v="11.5"/>
    <n v="6"/>
    <n v="5.5"/>
  </r>
  <r>
    <s v="ORD-0931"/>
    <s v="Leanna Viner"/>
    <x v="3"/>
    <s v="Brightening Toner"/>
    <d v="2024-08-25T00:00:00"/>
    <d v="2024-08-27T00:00:00"/>
    <n v="2"/>
    <n v="4.5"/>
    <x v="0"/>
    <x v="0"/>
    <x v="2"/>
    <x v="0"/>
    <x v="5"/>
    <x v="1"/>
    <n v="2"/>
    <n v="9"/>
    <n v="5"/>
    <n v="4"/>
  </r>
  <r>
    <s v="ORD-0932"/>
    <s v="George Cowpertwait"/>
    <x v="3"/>
    <s v="Soothing Toner"/>
    <d v="2024-07-25T00:00:00"/>
    <d v="2024-07-28T00:00:00"/>
    <n v="2"/>
    <n v="4.75"/>
    <x v="0"/>
    <x v="1"/>
    <x v="0"/>
    <x v="0"/>
    <x v="1"/>
    <x v="5"/>
    <n v="3"/>
    <n v="9.5"/>
    <n v="5"/>
    <n v="4.5"/>
  </r>
  <r>
    <s v="ORD-0933"/>
    <s v="Donny Peteri"/>
    <x v="1"/>
    <s v="Sunscreen SPF 50"/>
    <d v="2023-11-14T00:00:00"/>
    <d v="2023-11-17T00:00:00"/>
    <n v="2"/>
    <n v="5"/>
    <x v="0"/>
    <x v="2"/>
    <x v="1"/>
    <x v="1"/>
    <x v="2"/>
    <x v="3"/>
    <n v="3"/>
    <n v="10"/>
    <n v="6"/>
    <n v="4"/>
  </r>
  <r>
    <s v="ORD-0934"/>
    <s v="Job Lattimore"/>
    <x v="1"/>
    <s v="Sunscreen SPF 30"/>
    <d v="2024-10-24T00:00:00"/>
    <d v="2024-10-28T00:00:00"/>
    <n v="4"/>
    <n v="4.75"/>
    <x v="0"/>
    <x v="3"/>
    <x v="0"/>
    <x v="0"/>
    <x v="7"/>
    <x v="5"/>
    <n v="4"/>
    <n v="19"/>
    <n v="10"/>
    <n v="9"/>
  </r>
  <r>
    <s v="ORD-0935"/>
    <s v="Rey Danilovic"/>
    <x v="3"/>
    <s v="Hydrating Toner"/>
    <d v="2023-12-16T00:00:00"/>
    <d v="2023-12-17T00:00:00"/>
    <n v="4"/>
    <n v="4.25"/>
    <x v="0"/>
    <x v="4"/>
    <x v="1"/>
    <x v="1"/>
    <x v="8"/>
    <x v="0"/>
    <n v="1"/>
    <n v="17"/>
    <n v="8"/>
    <n v="9"/>
  </r>
  <r>
    <s v="ORD-0936"/>
    <s v="Philis MacDonnell"/>
    <x v="3"/>
    <s v="Soothing Toner"/>
    <d v="2023-11-01T00:00:00"/>
    <d v="2023-11-02T00:00:00"/>
    <n v="3"/>
    <n v="4.75"/>
    <x v="0"/>
    <x v="1"/>
    <x v="2"/>
    <x v="1"/>
    <x v="2"/>
    <x v="4"/>
    <n v="1"/>
    <n v="14.25"/>
    <n v="8"/>
    <n v="6.25"/>
  </r>
  <r>
    <s v="ORD-0937"/>
    <s v="Sasha Morcomb"/>
    <x v="1"/>
    <s v="Sunscreen SPF 50"/>
    <d v="2023-08-31T00:00:00"/>
    <d v="2023-09-06T00:00:00"/>
    <n v="5"/>
    <n v="5"/>
    <x v="0"/>
    <x v="5"/>
    <x v="2"/>
    <x v="1"/>
    <x v="5"/>
    <x v="5"/>
    <n v="6"/>
    <n v="25"/>
    <n v="14"/>
    <n v="11"/>
  </r>
  <r>
    <s v="ORD-0938"/>
    <s v="Berkly Copin"/>
    <x v="4"/>
    <s v="Hydrating Cleanser"/>
    <d v="2023-11-28T00:00:00"/>
    <d v="2023-11-30T00:00:00"/>
    <n v="2"/>
    <n v="4"/>
    <x v="0"/>
    <x v="2"/>
    <x v="1"/>
    <x v="1"/>
    <x v="2"/>
    <x v="3"/>
    <n v="2"/>
    <n v="8"/>
    <n v="4"/>
    <n v="4"/>
  </r>
  <r>
    <s v="ORD-0939"/>
    <s v="Nikos Records"/>
    <x v="1"/>
    <s v="Sensitive Sunscreen"/>
    <d v="2023-08-20T00:00:00"/>
    <d v="2023-08-21T00:00:00"/>
    <n v="1"/>
    <n v="5.5"/>
    <x v="0"/>
    <x v="0"/>
    <x v="1"/>
    <x v="1"/>
    <x v="5"/>
    <x v="1"/>
    <n v="1"/>
    <n v="5.5"/>
    <n v="3"/>
    <n v="2.5"/>
  </r>
  <r>
    <s v="ORD-0940"/>
    <s v="Olia Downey"/>
    <x v="2"/>
    <s v="Niacinamide Serum"/>
    <d v="2023-09-15T00:00:00"/>
    <d v="2023-09-18T00:00:00"/>
    <n v="5"/>
    <n v="8"/>
    <x v="0"/>
    <x v="3"/>
    <x v="0"/>
    <x v="1"/>
    <x v="10"/>
    <x v="6"/>
    <n v="3"/>
    <n v="40"/>
    <n v="23"/>
    <n v="17"/>
  </r>
  <r>
    <s v="ORD-0941"/>
    <s v="Kayla Wadesworth"/>
    <x v="3"/>
    <s v="Brightening Toner"/>
    <d v="2024-02-13T00:00:00"/>
    <d v="2024-02-16T00:00:00"/>
    <n v="3"/>
    <n v="4.5"/>
    <x v="0"/>
    <x v="1"/>
    <x v="2"/>
    <x v="0"/>
    <x v="3"/>
    <x v="3"/>
    <n v="3"/>
    <n v="13.5"/>
    <n v="7"/>
    <n v="6.5"/>
  </r>
  <r>
    <s v="ORD-0942"/>
    <s v="Elora Beevors"/>
    <x v="0"/>
    <s v="Night Cream"/>
    <d v="2024-03-07T00:00:00"/>
    <d v="2024-03-10T00:00:00"/>
    <n v="5"/>
    <n v="6.5"/>
    <x v="0"/>
    <x v="5"/>
    <x v="1"/>
    <x v="0"/>
    <x v="0"/>
    <x v="5"/>
    <n v="3"/>
    <n v="32.5"/>
    <n v="19"/>
    <n v="13.5"/>
  </r>
  <r>
    <s v="ORD-0943"/>
    <s v="Carlyle Delepine"/>
    <x v="1"/>
    <s v="Sunscreen SPF 50"/>
    <d v="2023-09-21T00:00:00"/>
    <d v="2023-09-24T00:00:00"/>
    <n v="2"/>
    <n v="5"/>
    <x v="0"/>
    <x v="0"/>
    <x v="2"/>
    <x v="1"/>
    <x v="10"/>
    <x v="5"/>
    <n v="3"/>
    <n v="10"/>
    <n v="6"/>
    <n v="4"/>
  </r>
  <r>
    <s v="ORD-0944"/>
    <s v="Rodd Reneke"/>
    <x v="1"/>
    <s v="Sunscreen SPF 50"/>
    <d v="2023-10-17T00:00:00"/>
    <d v="2023-10-20T00:00:00"/>
    <n v="4"/>
    <n v="5"/>
    <x v="1"/>
    <x v="1"/>
    <x v="2"/>
    <x v="1"/>
    <x v="7"/>
    <x v="3"/>
    <n v="3"/>
    <n v="20"/>
    <n v="11"/>
    <n v="9"/>
  </r>
  <r>
    <s v="ORD-0945"/>
    <s v="Godfrey D'eathe"/>
    <x v="3"/>
    <s v="Hydrating Toner"/>
    <d v="2023-07-08T00:00:00"/>
    <d v="2023-07-14T00:00:00"/>
    <n v="2"/>
    <n v="4.25"/>
    <x v="0"/>
    <x v="3"/>
    <x v="2"/>
    <x v="1"/>
    <x v="1"/>
    <x v="0"/>
    <n v="6"/>
    <n v="8.5"/>
    <n v="4"/>
    <n v="4.5"/>
  </r>
  <r>
    <s v="ORD-0946"/>
    <s v="Rodrigo Welchman"/>
    <x v="4"/>
    <s v="Acne Cleanser"/>
    <d v="2023-08-11T00:00:00"/>
    <d v="2023-08-14T00:00:00"/>
    <n v="1"/>
    <n v="3.5"/>
    <x v="0"/>
    <x v="1"/>
    <x v="2"/>
    <x v="1"/>
    <x v="5"/>
    <x v="6"/>
    <n v="3"/>
    <n v="3.5"/>
    <n v="2"/>
    <n v="1.5"/>
  </r>
  <r>
    <s v="ORD-0947"/>
    <s v="Adoree Basill"/>
    <x v="4"/>
    <s v="Hydrating Cleanser"/>
    <d v="2023-12-27T00:00:00"/>
    <d v="2024-01-01T00:00:00"/>
    <n v="5"/>
    <n v="4"/>
    <x v="0"/>
    <x v="0"/>
    <x v="2"/>
    <x v="1"/>
    <x v="8"/>
    <x v="4"/>
    <n v="5"/>
    <n v="20"/>
    <n v="10"/>
    <n v="10"/>
  </r>
  <r>
    <s v="ORD-0948"/>
    <s v="Addia Toten"/>
    <x v="3"/>
    <s v="Brightening Toner"/>
    <d v="2023-09-08T00:00:00"/>
    <d v="2023-09-13T00:00:00"/>
    <n v="5"/>
    <n v="4.5"/>
    <x v="0"/>
    <x v="0"/>
    <x v="2"/>
    <x v="1"/>
    <x v="10"/>
    <x v="6"/>
    <n v="5"/>
    <n v="22.5"/>
    <n v="12"/>
    <n v="10.5"/>
  </r>
  <r>
    <s v="ORD-0949"/>
    <s v="Katee Bussy"/>
    <x v="1"/>
    <s v="Sensitive Sunscreen"/>
    <d v="2024-07-19T00:00:00"/>
    <d v="2024-07-21T00:00:00"/>
    <n v="4"/>
    <n v="5.5"/>
    <x v="0"/>
    <x v="2"/>
    <x v="1"/>
    <x v="0"/>
    <x v="1"/>
    <x v="6"/>
    <n v="2"/>
    <n v="22"/>
    <n v="13"/>
    <n v="9"/>
  </r>
  <r>
    <s v="ORD-0950"/>
    <s v="Philis Shurman"/>
    <x v="1"/>
    <s v="Sunscreen SPF 30"/>
    <d v="2023-07-17T00:00:00"/>
    <d v="2023-07-31T00:00:00"/>
    <n v="4"/>
    <n v="4.75"/>
    <x v="0"/>
    <x v="0"/>
    <x v="2"/>
    <x v="1"/>
    <x v="1"/>
    <x v="2"/>
    <n v="14"/>
    <n v="19"/>
    <n v="10"/>
    <n v="9"/>
  </r>
  <r>
    <s v="ORD-0951"/>
    <s v="Cristiano Wyeth"/>
    <x v="0"/>
    <s v="Night Cream"/>
    <d v="2023-11-26T00:00:00"/>
    <d v="2023-11-29T00:00:00"/>
    <n v="4"/>
    <n v="6.5"/>
    <x v="0"/>
    <x v="0"/>
    <x v="2"/>
    <x v="1"/>
    <x v="2"/>
    <x v="1"/>
    <n v="3"/>
    <n v="26"/>
    <n v="15"/>
    <n v="11"/>
  </r>
  <r>
    <s v="ORD-0952"/>
    <s v="Forster Phear"/>
    <x v="2"/>
    <s v="Retinol Serum"/>
    <d v="2023-07-03T00:00:00"/>
    <d v="2023-07-10T00:00:00"/>
    <n v="4"/>
    <n v="10"/>
    <x v="0"/>
    <x v="1"/>
    <x v="1"/>
    <x v="1"/>
    <x v="1"/>
    <x v="2"/>
    <n v="7"/>
    <n v="40"/>
    <n v="26"/>
    <n v="14"/>
  </r>
  <r>
    <s v="ORD-0953"/>
    <s v="Beckie Rodmell"/>
    <x v="3"/>
    <s v="Soothing Toner"/>
    <d v="2024-03-10T00:00:00"/>
    <d v="2024-03-12T00:00:00"/>
    <n v="5"/>
    <n v="4.75"/>
    <x v="0"/>
    <x v="2"/>
    <x v="1"/>
    <x v="0"/>
    <x v="0"/>
    <x v="1"/>
    <n v="2"/>
    <n v="23.75"/>
    <n v="13"/>
    <n v="10.75"/>
  </r>
  <r>
    <s v="ORD-0954"/>
    <s v="Lydie Notley"/>
    <x v="1"/>
    <s v="Sunscreen SPF 30"/>
    <d v="2024-06-23T00:00:00"/>
    <d v="2024-06-25T00:00:00"/>
    <n v="1"/>
    <n v="4.75"/>
    <x v="0"/>
    <x v="1"/>
    <x v="1"/>
    <x v="0"/>
    <x v="4"/>
    <x v="1"/>
    <n v="2"/>
    <n v="4.75"/>
    <n v="3"/>
    <n v="1.75"/>
  </r>
  <r>
    <s v="ORD-0955"/>
    <s v="Damiano Youll"/>
    <x v="2"/>
    <s v="Retinol Serum"/>
    <d v="2024-10-07T00:00:00"/>
    <d v="2024-10-10T00:00:00"/>
    <n v="4"/>
    <n v="10"/>
    <x v="0"/>
    <x v="4"/>
    <x v="2"/>
    <x v="0"/>
    <x v="7"/>
    <x v="2"/>
    <n v="3"/>
    <n v="40"/>
    <n v="26"/>
    <n v="14"/>
  </r>
  <r>
    <s v="ORD-0956"/>
    <s v="Frazer Robathon"/>
    <x v="4"/>
    <s v="Hydrating Cleanser"/>
    <d v="2024-06-09T00:00:00"/>
    <d v="2024-06-21T00:00:00"/>
    <n v="4"/>
    <n v="4"/>
    <x v="0"/>
    <x v="1"/>
    <x v="0"/>
    <x v="0"/>
    <x v="4"/>
    <x v="1"/>
    <n v="12"/>
    <n v="16"/>
    <n v="8"/>
    <n v="8"/>
  </r>
  <r>
    <s v="ORD-0957"/>
    <s v="Jenica Wareing"/>
    <x v="4"/>
    <s v="Gentle Cleanser"/>
    <d v="2023-08-15T00:00:00"/>
    <d v="2023-08-16T00:00:00"/>
    <n v="3"/>
    <n v="3"/>
    <x v="0"/>
    <x v="0"/>
    <x v="1"/>
    <x v="1"/>
    <x v="5"/>
    <x v="3"/>
    <n v="1"/>
    <n v="9"/>
    <n v="4"/>
    <n v="5"/>
  </r>
  <r>
    <s v="ORD-0958"/>
    <s v="Luella Coot"/>
    <x v="3"/>
    <s v="Soothing Toner"/>
    <d v="2024-07-25T00:00:00"/>
    <d v="2024-07-28T00:00:00"/>
    <n v="2"/>
    <n v="4.75"/>
    <x v="0"/>
    <x v="1"/>
    <x v="0"/>
    <x v="0"/>
    <x v="1"/>
    <x v="5"/>
    <n v="3"/>
    <n v="9.5"/>
    <n v="5"/>
    <n v="4.5"/>
  </r>
  <r>
    <s v="ORD-0959"/>
    <s v="Lucky Shegog"/>
    <x v="2"/>
    <s v="Vitamin C Serum"/>
    <d v="2024-03-08T00:00:00"/>
    <d v="2024-03-10T00:00:00"/>
    <n v="1"/>
    <n v="8.5"/>
    <x v="0"/>
    <x v="1"/>
    <x v="1"/>
    <x v="0"/>
    <x v="0"/>
    <x v="6"/>
    <n v="2"/>
    <n v="8.5"/>
    <n v="5"/>
    <n v="3.5"/>
  </r>
  <r>
    <s v="ORD-0960"/>
    <s v="Stefano Mc Caughen"/>
    <x v="4"/>
    <s v="Gentle Cleanser"/>
    <d v="2024-02-17T00:00:00"/>
    <d v="2024-02-25T00:00:00"/>
    <n v="2"/>
    <n v="3"/>
    <x v="0"/>
    <x v="0"/>
    <x v="1"/>
    <x v="0"/>
    <x v="3"/>
    <x v="0"/>
    <n v="8"/>
    <n v="6"/>
    <n v="3"/>
    <n v="3"/>
  </r>
  <r>
    <s v="ORD-0961"/>
    <s v="Rollo Alcide"/>
    <x v="2"/>
    <s v="Retinol Serum"/>
    <d v="2024-09-12T00:00:00"/>
    <d v="2024-09-17T00:00:00"/>
    <n v="1"/>
    <n v="10"/>
    <x v="1"/>
    <x v="3"/>
    <x v="2"/>
    <x v="0"/>
    <x v="10"/>
    <x v="5"/>
    <n v="5"/>
    <n v="10"/>
    <n v="7"/>
    <n v="3"/>
  </r>
  <r>
    <s v="ORD-0962"/>
    <s v="Lotte Feaster"/>
    <x v="4"/>
    <s v="Brightening Cleanser"/>
    <d v="2023-11-08T00:00:00"/>
    <d v="2023-11-11T00:00:00"/>
    <n v="2"/>
    <n v="3.75"/>
    <x v="0"/>
    <x v="0"/>
    <x v="2"/>
    <x v="1"/>
    <x v="2"/>
    <x v="4"/>
    <n v="3"/>
    <n v="7.5"/>
    <n v="4"/>
    <n v="3.5"/>
  </r>
  <r>
    <s v="ORD-0963"/>
    <s v="Dulsea Emmanuel"/>
    <x v="3"/>
    <s v="Hydrating Toner"/>
    <d v="2023-12-19T00:00:00"/>
    <d v="2023-12-21T00:00:00"/>
    <n v="5"/>
    <n v="4.25"/>
    <x v="0"/>
    <x v="3"/>
    <x v="2"/>
    <x v="1"/>
    <x v="8"/>
    <x v="3"/>
    <n v="2"/>
    <n v="21.25"/>
    <n v="10"/>
    <n v="11.25"/>
  </r>
  <r>
    <s v="ORD-0964"/>
    <s v="Christie Benns"/>
    <x v="1"/>
    <s v="Sunscreen SPF 30"/>
    <d v="2024-04-05T00:00:00"/>
    <d v="2024-04-07T00:00:00"/>
    <n v="2"/>
    <n v="4.75"/>
    <x v="0"/>
    <x v="1"/>
    <x v="2"/>
    <x v="0"/>
    <x v="6"/>
    <x v="6"/>
    <n v="2"/>
    <n v="9.5"/>
    <n v="5"/>
    <n v="4.5"/>
  </r>
  <r>
    <s v="ORD-0965"/>
    <s v="Shela Keach"/>
    <x v="1"/>
    <s v="Sensitive Sunscreen"/>
    <d v="2024-06-16T00:00:00"/>
    <d v="2024-06-21T00:00:00"/>
    <n v="4"/>
    <n v="5.5"/>
    <x v="0"/>
    <x v="1"/>
    <x v="1"/>
    <x v="0"/>
    <x v="4"/>
    <x v="1"/>
    <n v="5"/>
    <n v="22"/>
    <n v="13"/>
    <n v="9"/>
  </r>
  <r>
    <s v="ORD-0966"/>
    <s v="Troy Pickworth"/>
    <x v="4"/>
    <s v="Brightening Cleanser"/>
    <d v="2024-08-16T00:00:00"/>
    <d v="2024-08-27T00:00:00"/>
    <n v="3"/>
    <n v="3.75"/>
    <x v="0"/>
    <x v="0"/>
    <x v="1"/>
    <x v="0"/>
    <x v="5"/>
    <x v="6"/>
    <n v="11"/>
    <n v="11.25"/>
    <n v="6"/>
    <n v="5.25"/>
  </r>
  <r>
    <s v="ORD-0967"/>
    <s v="Shae Lasty"/>
    <x v="2"/>
    <s v="Retinol Serum"/>
    <d v="2024-09-14T00:00:00"/>
    <d v="2024-09-18T00:00:00"/>
    <n v="5"/>
    <n v="10"/>
    <x v="1"/>
    <x v="1"/>
    <x v="2"/>
    <x v="0"/>
    <x v="10"/>
    <x v="0"/>
    <n v="4"/>
    <n v="50"/>
    <n v="33"/>
    <n v="17"/>
  </r>
  <r>
    <s v="ORD-0968"/>
    <s v="Tatiana Duddan"/>
    <x v="3"/>
    <s v="Brightening Toner"/>
    <d v="2024-05-09T00:00:00"/>
    <d v="2024-05-12T00:00:00"/>
    <n v="2"/>
    <n v="4.5"/>
    <x v="0"/>
    <x v="2"/>
    <x v="2"/>
    <x v="0"/>
    <x v="9"/>
    <x v="5"/>
    <n v="3"/>
    <n v="9"/>
    <n v="5"/>
    <n v="4"/>
  </r>
  <r>
    <s v="ORD-0969"/>
    <s v="Milo Prendiville"/>
    <x v="1"/>
    <s v="Matte Sunscreen"/>
    <d v="2023-09-19T00:00:00"/>
    <d v="2023-09-21T00:00:00"/>
    <n v="4"/>
    <n v="5.25"/>
    <x v="0"/>
    <x v="2"/>
    <x v="0"/>
    <x v="1"/>
    <x v="10"/>
    <x v="3"/>
    <n v="2"/>
    <n v="21"/>
    <n v="12"/>
    <n v="9"/>
  </r>
  <r>
    <s v="ORD-0970"/>
    <s v="Josselyn Brun"/>
    <x v="2"/>
    <s v="Retinol Serum"/>
    <d v="2023-11-06T00:00:00"/>
    <d v="2023-11-08T00:00:00"/>
    <n v="2"/>
    <n v="10"/>
    <x v="0"/>
    <x v="1"/>
    <x v="2"/>
    <x v="1"/>
    <x v="2"/>
    <x v="2"/>
    <n v="2"/>
    <n v="20"/>
    <n v="13"/>
    <n v="7"/>
  </r>
  <r>
    <s v="ORD-0971"/>
    <s v="Fayette Pott"/>
    <x v="1"/>
    <s v="Matte Sunscreen"/>
    <d v="2024-07-16T00:00:00"/>
    <d v="2024-07-19T00:00:00"/>
    <n v="1"/>
    <n v="5.25"/>
    <x v="0"/>
    <x v="1"/>
    <x v="2"/>
    <x v="0"/>
    <x v="1"/>
    <x v="3"/>
    <n v="3"/>
    <n v="5.25"/>
    <n v="3"/>
    <n v="2.25"/>
  </r>
  <r>
    <s v="ORD-0972"/>
    <s v="Scot Glozman"/>
    <x v="4"/>
    <s v="Gentle Cleanser"/>
    <d v="2023-07-29T00:00:00"/>
    <d v="2023-07-30T00:00:00"/>
    <n v="3"/>
    <n v="3"/>
    <x v="0"/>
    <x v="0"/>
    <x v="2"/>
    <x v="1"/>
    <x v="1"/>
    <x v="0"/>
    <n v="1"/>
    <n v="9"/>
    <n v="4"/>
    <n v="5"/>
  </r>
  <r>
    <s v="ORD-0973"/>
    <s v="Efrem Qualtro"/>
    <x v="0"/>
    <s v="Daily Moisturizer"/>
    <d v="2023-07-01T00:00:00"/>
    <d v="2023-07-12T00:00:00"/>
    <n v="4"/>
    <n v="5.5"/>
    <x v="0"/>
    <x v="1"/>
    <x v="1"/>
    <x v="1"/>
    <x v="1"/>
    <x v="0"/>
    <n v="11"/>
    <n v="22"/>
    <n v="11"/>
    <n v="11"/>
  </r>
  <r>
    <s v="ORD-0974"/>
    <s v="Ketty Perel"/>
    <x v="3"/>
    <s v="Soothing Toner"/>
    <d v="2023-09-13T00:00:00"/>
    <d v="2023-09-16T00:00:00"/>
    <n v="5"/>
    <n v="4.75"/>
    <x v="0"/>
    <x v="5"/>
    <x v="1"/>
    <x v="1"/>
    <x v="10"/>
    <x v="4"/>
    <n v="3"/>
    <n v="23.75"/>
    <n v="13"/>
    <n v="10.75"/>
  </r>
  <r>
    <s v="ORD-0975"/>
    <s v="Kaela Barcke"/>
    <x v="3"/>
    <s v="Hydrating Toner"/>
    <d v="2024-05-22T00:00:00"/>
    <d v="2024-05-24T00:00:00"/>
    <n v="2"/>
    <n v="4.25"/>
    <x v="0"/>
    <x v="0"/>
    <x v="0"/>
    <x v="0"/>
    <x v="9"/>
    <x v="4"/>
    <n v="2"/>
    <n v="8.5"/>
    <n v="4"/>
    <n v="4.5"/>
  </r>
  <r>
    <s v="ORD-0976"/>
    <s v="Minerva Varnals"/>
    <x v="0"/>
    <s v="Daily Moisturizer"/>
    <d v="2023-07-26T00:00:00"/>
    <d v="2023-07-31T00:00:00"/>
    <n v="3"/>
    <n v="5.5"/>
    <x v="0"/>
    <x v="0"/>
    <x v="2"/>
    <x v="1"/>
    <x v="1"/>
    <x v="4"/>
    <n v="5"/>
    <n v="16.5"/>
    <n v="9"/>
    <n v="7.5"/>
  </r>
  <r>
    <s v="ORD-0977"/>
    <s v="Kissiah Hatz"/>
    <x v="0"/>
    <s v="Night Cream"/>
    <d v="2024-01-31T00:00:00"/>
    <d v="2024-02-01T00:00:00"/>
    <n v="2"/>
    <n v="6.5"/>
    <x v="1"/>
    <x v="5"/>
    <x v="0"/>
    <x v="0"/>
    <x v="11"/>
    <x v="4"/>
    <n v="1"/>
    <n v="13"/>
    <n v="8"/>
    <n v="5"/>
  </r>
  <r>
    <s v="ORD-0978"/>
    <s v="Milena Kubiczek"/>
    <x v="4"/>
    <s v="Acne Cleanser"/>
    <d v="2024-06-11T00:00:00"/>
    <d v="2024-06-13T00:00:00"/>
    <n v="2"/>
    <n v="3.5"/>
    <x v="0"/>
    <x v="0"/>
    <x v="1"/>
    <x v="0"/>
    <x v="4"/>
    <x v="3"/>
    <n v="2"/>
    <n v="7"/>
    <n v="3"/>
    <n v="4"/>
  </r>
  <r>
    <s v="ORD-0979"/>
    <s v="Britney Sarge"/>
    <x v="3"/>
    <s v="Hydrating Toner"/>
    <d v="2024-03-02T00:00:00"/>
    <d v="2024-03-07T00:00:00"/>
    <n v="1"/>
    <n v="4.25"/>
    <x v="0"/>
    <x v="0"/>
    <x v="2"/>
    <x v="0"/>
    <x v="0"/>
    <x v="0"/>
    <n v="5"/>
    <n v="4.25"/>
    <n v="2"/>
    <n v="2.25"/>
  </r>
  <r>
    <s v="ORD-0980"/>
    <s v="Stanislas Ackred"/>
    <x v="1"/>
    <s v="Sunscreen SPF 50"/>
    <d v="2024-10-19T00:00:00"/>
    <d v="2024-10-23T00:00:00"/>
    <n v="1"/>
    <n v="5"/>
    <x v="0"/>
    <x v="0"/>
    <x v="2"/>
    <x v="0"/>
    <x v="7"/>
    <x v="0"/>
    <n v="4"/>
    <n v="5"/>
    <n v="3"/>
    <n v="2"/>
  </r>
  <r>
    <s v="ORD-0981"/>
    <s v="Romeo Fabry"/>
    <x v="4"/>
    <s v="Gentle Cleanser"/>
    <d v="2023-08-27T00:00:00"/>
    <d v="2023-08-31T00:00:00"/>
    <n v="4"/>
    <n v="3"/>
    <x v="0"/>
    <x v="4"/>
    <x v="2"/>
    <x v="1"/>
    <x v="5"/>
    <x v="1"/>
    <n v="4"/>
    <n v="12"/>
    <n v="6"/>
    <n v="6"/>
  </r>
  <r>
    <s v="ORD-0982"/>
    <s v="Ruperto Joincey"/>
    <x v="4"/>
    <s v="Acne Cleanser"/>
    <d v="2023-09-08T00:00:00"/>
    <d v="2023-09-10T00:00:00"/>
    <n v="3"/>
    <n v="3.5"/>
    <x v="0"/>
    <x v="2"/>
    <x v="2"/>
    <x v="1"/>
    <x v="10"/>
    <x v="6"/>
    <n v="2"/>
    <n v="10.5"/>
    <n v="5"/>
    <n v="5.5"/>
  </r>
  <r>
    <s v="ORD-0983"/>
    <s v="Kippie Neilan"/>
    <x v="1"/>
    <s v="Sunscreen SPF 50"/>
    <d v="2024-10-09T00:00:00"/>
    <d v="2024-10-15T00:00:00"/>
    <n v="5"/>
    <n v="5"/>
    <x v="1"/>
    <x v="1"/>
    <x v="2"/>
    <x v="0"/>
    <x v="7"/>
    <x v="4"/>
    <n v="6"/>
    <n v="25"/>
    <n v="14"/>
    <n v="11"/>
  </r>
  <r>
    <s v="ORD-0984"/>
    <s v="Pip Havoc"/>
    <x v="1"/>
    <s v="Sunscreen SPF 50"/>
    <d v="2024-05-21T00:00:00"/>
    <d v="2024-05-25T00:00:00"/>
    <n v="2"/>
    <n v="5"/>
    <x v="0"/>
    <x v="0"/>
    <x v="2"/>
    <x v="0"/>
    <x v="9"/>
    <x v="3"/>
    <n v="4"/>
    <n v="10"/>
    <n v="6"/>
    <n v="4"/>
  </r>
  <r>
    <s v="ORD-0985"/>
    <s v="Rhianon Simeon"/>
    <x v="0"/>
    <s v="Gel Moisturizer"/>
    <d v="2023-10-02T00:00:00"/>
    <d v="2023-10-13T00:00:00"/>
    <n v="5"/>
    <n v="5.75"/>
    <x v="0"/>
    <x v="0"/>
    <x v="2"/>
    <x v="1"/>
    <x v="7"/>
    <x v="2"/>
    <n v="11"/>
    <n v="28.75"/>
    <n v="14"/>
    <n v="14.75"/>
  </r>
  <r>
    <s v="ORD-0986"/>
    <s v="Roseanne Spellar"/>
    <x v="4"/>
    <s v="Acne Cleanser"/>
    <d v="2023-09-07T00:00:00"/>
    <d v="2023-09-11T00:00:00"/>
    <n v="4"/>
    <n v="3.5"/>
    <x v="0"/>
    <x v="5"/>
    <x v="2"/>
    <x v="1"/>
    <x v="10"/>
    <x v="5"/>
    <n v="4"/>
    <n v="14"/>
    <n v="7"/>
    <n v="7"/>
  </r>
  <r>
    <s v="ORD-0987"/>
    <s v="Timmi Lant"/>
    <x v="4"/>
    <s v="Acne Cleanser"/>
    <d v="2024-03-19T00:00:00"/>
    <d v="2024-03-21T00:00:00"/>
    <n v="1"/>
    <n v="3.5"/>
    <x v="0"/>
    <x v="0"/>
    <x v="2"/>
    <x v="0"/>
    <x v="0"/>
    <x v="3"/>
    <n v="2"/>
    <n v="3.5"/>
    <n v="2"/>
    <n v="1.5"/>
  </r>
  <r>
    <s v="ORD-0988"/>
    <s v="Allayne Padson"/>
    <x v="3"/>
    <s v="Hydrating Toner"/>
    <d v="2024-01-03T00:00:00"/>
    <d v="2024-01-09T00:00:00"/>
    <n v="4"/>
    <n v="4.25"/>
    <x v="0"/>
    <x v="0"/>
    <x v="1"/>
    <x v="0"/>
    <x v="11"/>
    <x v="4"/>
    <n v="6"/>
    <n v="17"/>
    <n v="8"/>
    <n v="9"/>
  </r>
  <r>
    <s v="ORD-0989"/>
    <s v="Cary Ollivierre"/>
    <x v="4"/>
    <s v="Gentle Cleanser"/>
    <d v="2024-04-05T00:00:00"/>
    <d v="2024-04-06T00:00:00"/>
    <n v="2"/>
    <n v="3"/>
    <x v="0"/>
    <x v="0"/>
    <x v="1"/>
    <x v="0"/>
    <x v="6"/>
    <x v="6"/>
    <n v="1"/>
    <n v="6"/>
    <n v="3"/>
    <n v="3"/>
  </r>
  <r>
    <s v="ORD-0990"/>
    <s v="Ceciley Somerscales"/>
    <x v="1"/>
    <s v="Matte Sunscreen"/>
    <d v="2024-05-23T00:00:00"/>
    <d v="2024-05-29T00:00:00"/>
    <n v="3"/>
    <n v="5.25"/>
    <x v="1"/>
    <x v="2"/>
    <x v="2"/>
    <x v="0"/>
    <x v="9"/>
    <x v="5"/>
    <n v="6"/>
    <n v="15.75"/>
    <n v="9"/>
    <n v="6.75"/>
  </r>
  <r>
    <s v="ORD-0991"/>
    <s v="Myranda Fountaine"/>
    <x v="2"/>
    <s v="Hyaluronic Acid Serum"/>
    <d v="2024-01-01T00:00:00"/>
    <d v="2024-01-07T00:00:00"/>
    <n v="3"/>
    <n v="8.75"/>
    <x v="0"/>
    <x v="0"/>
    <x v="2"/>
    <x v="0"/>
    <x v="11"/>
    <x v="2"/>
    <n v="6"/>
    <n v="26.25"/>
    <n v="15"/>
    <n v="11.25"/>
  </r>
  <r>
    <s v="ORD-0992"/>
    <s v="Kalle Musterd"/>
    <x v="2"/>
    <s v="Retinol Serum"/>
    <d v="2024-05-03T00:00:00"/>
    <d v="2024-05-04T00:00:00"/>
    <n v="3"/>
    <n v="10"/>
    <x v="1"/>
    <x v="0"/>
    <x v="2"/>
    <x v="0"/>
    <x v="9"/>
    <x v="6"/>
    <n v="1"/>
    <n v="30"/>
    <n v="20"/>
    <n v="10"/>
  </r>
  <r>
    <s v="ORD-0993"/>
    <s v="Annadiane Mountney"/>
    <x v="3"/>
    <s v="Soothing Toner"/>
    <d v="2023-12-10T00:00:00"/>
    <d v="2023-12-11T00:00:00"/>
    <n v="5"/>
    <n v="4.75"/>
    <x v="1"/>
    <x v="1"/>
    <x v="2"/>
    <x v="1"/>
    <x v="8"/>
    <x v="1"/>
    <n v="1"/>
    <n v="23.75"/>
    <n v="13"/>
    <n v="10.75"/>
  </r>
  <r>
    <s v="ORD-0994"/>
    <s v="Jamil Debold"/>
    <x v="4"/>
    <s v="Gentle Cleanser"/>
    <d v="2023-09-05T00:00:00"/>
    <d v="2023-09-12T00:00:00"/>
    <n v="3"/>
    <n v="3"/>
    <x v="0"/>
    <x v="0"/>
    <x v="1"/>
    <x v="1"/>
    <x v="10"/>
    <x v="3"/>
    <n v="7"/>
    <n v="9"/>
    <n v="4"/>
    <n v="5"/>
  </r>
  <r>
    <s v="ORD-0995"/>
    <s v="Sigismund Haggish"/>
    <x v="2"/>
    <s v="Niacinamide Serum"/>
    <d v="2024-01-01T00:00:00"/>
    <d v="2024-01-03T00:00:00"/>
    <n v="1"/>
    <n v="8"/>
    <x v="0"/>
    <x v="1"/>
    <x v="1"/>
    <x v="0"/>
    <x v="11"/>
    <x v="2"/>
    <n v="2"/>
    <n v="8"/>
    <n v="5"/>
    <n v="3"/>
  </r>
  <r>
    <s v="ORD-0996"/>
    <s v="Tiler Pibworth"/>
    <x v="0"/>
    <s v="Night Cream"/>
    <d v="2024-09-16T00:00:00"/>
    <d v="2024-09-17T00:00:00"/>
    <n v="1"/>
    <n v="6.5"/>
    <x v="1"/>
    <x v="2"/>
    <x v="0"/>
    <x v="0"/>
    <x v="10"/>
    <x v="2"/>
    <n v="1"/>
    <n v="6.5"/>
    <n v="4"/>
    <n v="2.5"/>
  </r>
  <r>
    <s v="ORD-0997"/>
    <s v="Jo Bonny"/>
    <x v="0"/>
    <s v="Daily Moisturizer"/>
    <d v="2024-03-11T00:00:00"/>
    <d v="2024-03-15T00:00:00"/>
    <n v="3"/>
    <n v="5.5"/>
    <x v="0"/>
    <x v="0"/>
    <x v="2"/>
    <x v="0"/>
    <x v="0"/>
    <x v="2"/>
    <n v="4"/>
    <n v="16.5"/>
    <n v="9"/>
    <n v="7.5"/>
  </r>
  <r>
    <s v="ORD-0998"/>
    <s v="Lanae Collinette"/>
    <x v="4"/>
    <s v="Brightening Cleanser"/>
    <d v="2024-06-13T00:00:00"/>
    <d v="2024-06-16T00:00:00"/>
    <n v="2"/>
    <n v="3.75"/>
    <x v="0"/>
    <x v="2"/>
    <x v="2"/>
    <x v="0"/>
    <x v="4"/>
    <x v="5"/>
    <n v="3"/>
    <n v="7.5"/>
    <n v="4"/>
    <n v="3.5"/>
  </r>
  <r>
    <s v="ORD-0999"/>
    <s v="Hamlen Mc-Kerley"/>
    <x v="0"/>
    <s v="Daily Moisturizer"/>
    <d v="2023-11-17T00:00:00"/>
    <d v="2023-11-18T00:00:00"/>
    <n v="4"/>
    <n v="5.5"/>
    <x v="0"/>
    <x v="2"/>
    <x v="2"/>
    <x v="1"/>
    <x v="2"/>
    <x v="6"/>
    <n v="1"/>
    <n v="22"/>
    <n v="11"/>
    <n v="11"/>
  </r>
  <r>
    <s v="ORD-1000"/>
    <s v="Timofei Winston"/>
    <x v="2"/>
    <s v="Retinol Serum"/>
    <d v="2024-06-19T00:00:00"/>
    <d v="2024-06-22T00:00:00"/>
    <n v="3"/>
    <n v="10"/>
    <x v="0"/>
    <x v="1"/>
    <x v="1"/>
    <x v="0"/>
    <x v="4"/>
    <x v="4"/>
    <n v="3"/>
    <n v="30"/>
    <n v="20"/>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Order Table"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51:C64" firstHeaderRow="1" firstDataRow="1" firstDataCol="1"/>
  <pivotFields count="18">
    <pivotField showAll="0"/>
    <pivotField dataField="1" showAll="0"/>
    <pivotField showAll="0"/>
    <pivotField showAll="0"/>
    <pivotField numFmtId="14" showAll="0"/>
    <pivotField numFmtId="14" showAll="0"/>
    <pivotField showAll="0"/>
    <pivotField showAll="0"/>
    <pivotField showAll="0"/>
    <pivotField showAll="0" defaultSubtotal="0"/>
    <pivotField showAll="0"/>
    <pivotField showAll="0">
      <items count="3">
        <item x="1"/>
        <item x="0"/>
        <item t="default"/>
      </items>
    </pivotField>
    <pivotField axis="axisRow" showAll="0">
      <items count="13">
        <item x="11"/>
        <item x="3"/>
        <item x="0"/>
        <item x="6"/>
        <item x="9"/>
        <item x="4"/>
        <item x="1"/>
        <item x="5"/>
        <item x="10"/>
        <item x="7"/>
        <item x="2"/>
        <item x="8"/>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dataFields count="1">
    <dataField name="Count of Customer Name" fld="1" subtotal="count" baseField="0" baseItem="0"/>
  </dataFields>
  <formats count="4">
    <format dxfId="3">
      <pivotArea field="12" type="button" dataOnly="0" labelOnly="1" outline="0" axis="axisRow" fieldPosition="0"/>
    </format>
    <format dxfId="2">
      <pivotArea dataOnly="0" labelOnly="1" outline="0" axis="axisValues"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KPI 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3:C4" firstHeaderRow="0" firstDataRow="1" firstDataCol="0" rowPageCount="1" colPageCount="1"/>
  <pivotFields count="18">
    <pivotField showAll="0"/>
    <pivotField showAll="0"/>
    <pivotField showAll="0">
      <items count="6">
        <item x="4"/>
        <item x="0"/>
        <item x="2"/>
        <item x="1"/>
        <item x="3"/>
        <item t="default"/>
      </items>
    </pivotField>
    <pivotField showAll="0"/>
    <pivotField numFmtId="14" showAll="0"/>
    <pivotField numFmtId="14" showAll="0"/>
    <pivotField showAll="0"/>
    <pivotField showAll="0"/>
    <pivotField axis="axisPage" showAll="0">
      <items count="3">
        <item x="0"/>
        <item x="1"/>
        <item t="default"/>
      </items>
    </pivotField>
    <pivotField showAll="0" defaultSubtotal="0">
      <items count="6">
        <item x="4"/>
        <item x="0"/>
        <item x="5"/>
        <item x="2"/>
        <item x="1"/>
        <item x="3"/>
      </items>
    </pivotField>
    <pivotField showAll="0"/>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Sales Revenue" fld="15" baseField="0" baseItem="0"/>
    <dataField name="Sum of Total Cost" fld="16" baseField="0" baseItem="0"/>
    <dataField name="Sum of Net Profit" fld="17" baseField="0" baseItem="0"/>
  </dataFields>
  <formats count="2">
    <format dxfId="5">
      <pivotArea dataOnly="0" labelOnly="1" outline="0" fieldPosition="0">
        <references count="1">
          <reference field="4294967294" count="3">
            <x v="0"/>
            <x v="1"/>
            <x v="2"/>
          </reference>
        </references>
      </pivotArea>
    </format>
    <format dxfId="4">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ayment Summary"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3">
  <location ref="A111:B115" firstHeaderRow="1" firstDataRow="1" firstDataCol="1" rowPageCount="1" colPageCount="1"/>
  <pivotFields count="18">
    <pivotField showAll="0"/>
    <pivotField showAll="0"/>
    <pivotField showAll="0">
      <items count="6">
        <item x="4"/>
        <item x="0"/>
        <item x="2"/>
        <item x="1"/>
        <item x="3"/>
        <item t="default"/>
      </items>
    </pivotField>
    <pivotField showAll="0"/>
    <pivotField numFmtId="14" showAll="0"/>
    <pivotField numFmtId="14" showAll="0"/>
    <pivotField showAll="0"/>
    <pivotField showAll="0"/>
    <pivotField axis="axisPage" showAll="0">
      <items count="3">
        <item x="0"/>
        <item x="1"/>
        <item t="default"/>
      </items>
    </pivotField>
    <pivotField showAll="0" defaultSubtotal="0"/>
    <pivotField axis="axisRow" dataField="1" showAll="0">
      <items count="4">
        <item x="1"/>
        <item x="0"/>
        <item x="2"/>
        <item t="default"/>
      </items>
    </pivotField>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showAll="0"/>
    <pivotField showAll="0"/>
    <pivotField showAll="0"/>
  </pivotFields>
  <rowFields count="1">
    <field x="10"/>
  </rowFields>
  <rowItems count="4">
    <i>
      <x/>
    </i>
    <i>
      <x v="1"/>
    </i>
    <i>
      <x v="2"/>
    </i>
    <i t="grand">
      <x/>
    </i>
  </rowItems>
  <colItems count="1">
    <i/>
  </colItems>
  <pageFields count="1">
    <pageField fld="8" hier="-1"/>
  </pageFields>
  <dataFields count="1">
    <dataField name="Count of Payment Method" fld="10" subtotal="count" baseField="0" baseItem="0"/>
  </dataFields>
  <formats count="7">
    <format dxfId="12">
      <pivotArea field="2" type="button" dataOnly="0" labelOnly="1" outline="0"/>
    </format>
    <format dxfId="11">
      <pivotArea dataOnly="0" labelOnly="1" grandRow="1" outline="0" fieldPosition="0"/>
    </format>
    <format dxfId="10">
      <pivotArea field="10" type="button" dataOnly="0" labelOnly="1" outline="0" axis="axisRow" fieldPosition="0"/>
    </format>
    <format dxfId="9">
      <pivotArea dataOnly="0" labelOnly="1" outline="0" axis="axisValues" fieldPosition="0"/>
    </format>
    <format dxfId="8">
      <pivotArea dataOnly="0" labelOnly="1" outline="0" axis="axisValues" fieldPosition="0"/>
    </format>
    <format dxfId="7">
      <pivotArea field="8" type="button" dataOnly="0" labelOnly="1" outline="0" axis="axisPage" fieldPosition="0"/>
    </format>
    <format dxfId="6">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Category Performance"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2">
  <location ref="A69:D75" firstHeaderRow="0" firstDataRow="1" firstDataCol="1" rowPageCount="1" colPageCount="1"/>
  <pivotFields count="18">
    <pivotField showAll="0"/>
    <pivotField showAll="0"/>
    <pivotField axis="axisRow" showAll="0">
      <items count="6">
        <item x="4"/>
        <item x="0"/>
        <item x="2"/>
        <item x="1"/>
        <item x="3"/>
        <item t="default"/>
      </items>
    </pivotField>
    <pivotField showAll="0"/>
    <pivotField numFmtId="14" showAll="0"/>
    <pivotField numFmtId="14" showAll="0"/>
    <pivotField showAll="0"/>
    <pivotField showAll="0"/>
    <pivotField axis="axisPage" showAll="0">
      <items count="3">
        <item x="0"/>
        <item x="1"/>
        <item t="default"/>
      </items>
    </pivotField>
    <pivotField showAll="0" defaultSubtotal="0"/>
    <pivotField showAll="0"/>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dataField="1" showAll="0"/>
    <pivotField dataField="1" showAll="0"/>
    <pivotField dataField="1" showAll="0"/>
  </pivotFields>
  <rowFields count="1">
    <field x="2"/>
  </rowFields>
  <rowItems count="6">
    <i>
      <x/>
    </i>
    <i>
      <x v="1"/>
    </i>
    <i>
      <x v="2"/>
    </i>
    <i>
      <x v="3"/>
    </i>
    <i>
      <x v="4"/>
    </i>
    <i t="grand">
      <x/>
    </i>
  </rowItems>
  <colFields count="1">
    <field x="-2"/>
  </colFields>
  <colItems count="3">
    <i>
      <x/>
    </i>
    <i i="1">
      <x v="1"/>
    </i>
    <i i="2">
      <x v="2"/>
    </i>
  </colItems>
  <pageFields count="1">
    <pageField fld="8" hier="-1"/>
  </pageFields>
  <dataFields count="3">
    <dataField name="Sum of Sales Revenue" fld="15" baseField="0" baseItem="0"/>
    <dataField name="Sum of Total Cost" fld="16" baseField="0" baseItem="0"/>
    <dataField name="Sum of Net Profit" fld="17" baseField="0" baseItem="0"/>
  </dataFields>
  <formats count="5">
    <format dxfId="17">
      <pivotArea field="2" type="button" dataOnly="0" labelOnly="1" outline="0" axis="axisRow" fieldPosition="0"/>
    </format>
    <format dxfId="16">
      <pivotArea dataOnly="0" labelOnly="1" outline="0" fieldPosition="0">
        <references count="1">
          <reference field="4294967294" count="3">
            <x v="0"/>
            <x v="1"/>
            <x v="2"/>
          </reference>
        </references>
      </pivotArea>
    </format>
    <format dxfId="15">
      <pivotArea dataOnly="0" labelOnly="1" grandRow="1" outline="0" fieldPosition="0"/>
    </format>
    <format dxfId="14">
      <pivotArea field="8" type="button" dataOnly="0" labelOnly="1" outline="0" axis="axisPage" fieldPosition="0"/>
    </format>
    <format dxfId="13">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Month"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location ref="A36:A48" firstHeaderRow="1" firstDataRow="1" firstDataCol="1"/>
  <pivotFields count="18">
    <pivotField showAll="0"/>
    <pivotField showAll="0"/>
    <pivotField showAll="0"/>
    <pivotField showAll="0"/>
    <pivotField numFmtId="14" showAll="0"/>
    <pivotField numFmtId="14" showAll="0"/>
    <pivotField showAll="0"/>
    <pivotField showAll="0"/>
    <pivotField showAll="0"/>
    <pivotField showAll="0" defaultSubtotal="0"/>
    <pivotField showAll="0"/>
    <pivotField showAll="0">
      <items count="3">
        <item x="1"/>
        <item x="0"/>
        <item t="default"/>
      </items>
    </pivotField>
    <pivotField axis="axisRow" showAll="0">
      <items count="13">
        <item x="11"/>
        <item x="3"/>
        <item x="0"/>
        <item x="6"/>
        <item x="9"/>
        <item x="4"/>
        <item x="1"/>
        <item x="5"/>
        <item x="10"/>
        <item x="7"/>
        <item x="2"/>
        <item x="8"/>
        <item t="default"/>
      </items>
    </pivotField>
    <pivotField showAll="0"/>
    <pivotField showAll="0"/>
    <pivotField showAll="0"/>
    <pivotField showAll="0"/>
    <pivotField showAll="0"/>
  </pivotFields>
  <rowFields count="1">
    <field x="12"/>
  </rowFields>
  <rowItems count="12">
    <i>
      <x/>
    </i>
    <i>
      <x v="1"/>
    </i>
    <i>
      <x v="2"/>
    </i>
    <i>
      <x v="3"/>
    </i>
    <i>
      <x v="4"/>
    </i>
    <i>
      <x v="5"/>
    </i>
    <i>
      <x v="6"/>
    </i>
    <i>
      <x v="7"/>
    </i>
    <i>
      <x v="8"/>
    </i>
    <i>
      <x v="9"/>
    </i>
    <i>
      <x v="10"/>
    </i>
    <i>
      <x v="11"/>
    </i>
  </rowItems>
  <colItems count="1">
    <i/>
  </colItems>
  <formats count="1">
    <format dxfId="18">
      <pivotArea field="1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Status"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9:B12" firstHeaderRow="1" firstDataRow="1" firstDataCol="1"/>
  <pivotFields count="18">
    <pivotField showAll="0"/>
    <pivotField showAll="0"/>
    <pivotField showAll="0"/>
    <pivotField showAll="0"/>
    <pivotField numFmtId="14" showAll="0"/>
    <pivotField numFmtId="14" showAll="0"/>
    <pivotField showAll="0"/>
    <pivotField showAll="0"/>
    <pivotField axis="axisRow" dataField="1" showAll="0">
      <items count="3">
        <item x="0"/>
        <item x="1"/>
        <item t="default"/>
      </items>
    </pivotField>
    <pivotField showAll="0" defaultSubtotal="0"/>
    <pivotField showAll="0"/>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Status" fld="8" subtotal="count" baseField="0" baseItem="0"/>
  </dataFields>
  <formats count="4">
    <format dxfId="22">
      <pivotArea field="8" type="button" dataOnly="0" labelOnly="1" outline="0" axis="axisRow" fieldPosition="0"/>
    </format>
    <format dxfId="21">
      <pivotArea dataOnly="0" labelOnly="1" outline="0" axis="axisValues" fieldPosition="0"/>
    </format>
    <format dxfId="20">
      <pivotArea dataOnly="0" labelOnly="1" outline="0" axis="axisValues" fieldPosition="0"/>
    </format>
    <format dxfId="1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Month Table"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20:E33" firstHeaderRow="0" firstDataRow="1" firstDataCol="1" rowPageCount="1" colPageCount="1"/>
  <pivotFields count="18">
    <pivotField showAll="0"/>
    <pivotField showAll="0"/>
    <pivotField showAll="0"/>
    <pivotField showAll="0"/>
    <pivotField numFmtId="14" showAll="0"/>
    <pivotField numFmtId="14" showAll="0"/>
    <pivotField showAll="0"/>
    <pivotField showAll="0"/>
    <pivotField axis="axisPage" showAll="0">
      <items count="3">
        <item x="0"/>
        <item x="1"/>
        <item t="default"/>
      </items>
    </pivotField>
    <pivotField showAll="0" defaultSubtotal="0"/>
    <pivotField showAll="0"/>
    <pivotField showAll="0">
      <items count="3">
        <item x="1"/>
        <item x="0"/>
        <item t="default"/>
      </items>
    </pivotField>
    <pivotField axis="axisRow" showAll="0">
      <items count="13">
        <item x="11"/>
        <item x="3"/>
        <item x="0"/>
        <item x="6"/>
        <item x="9"/>
        <item x="4"/>
        <item x="1"/>
        <item x="5"/>
        <item x="10"/>
        <item x="7"/>
        <item x="2"/>
        <item x="8"/>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Sales Revenue" fld="15" baseField="0" baseItem="0"/>
    <dataField name="Sum of Total Cost" fld="16" baseField="0" baseItem="0"/>
    <dataField name="Sum of Net Profit" fld="17" baseField="0" baseItem="0"/>
  </dataFields>
  <formats count="3">
    <format dxfId="25">
      <pivotArea field="12" type="button" dataOnly="0" labelOnly="1" outline="0" axis="axisRow" fieldPosition="0"/>
    </format>
    <format dxfId="24">
      <pivotArea dataOnly="0" labelOnly="1" outline="0" fieldPosition="0">
        <references count="1">
          <reference field="4294967294" count="3">
            <x v="0"/>
            <x v="1"/>
            <x v="2"/>
          </reference>
        </references>
      </pivotArea>
    </format>
    <format dxfId="23">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Sales by Day"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98:B106" firstHeaderRow="1" firstDataRow="1" firstDataCol="1" rowPageCount="1" colPageCount="1"/>
  <pivotFields count="18">
    <pivotField showAll="0"/>
    <pivotField showAll="0"/>
    <pivotField showAll="0">
      <items count="6">
        <item x="4"/>
        <item x="0"/>
        <item x="2"/>
        <item x="1"/>
        <item x="3"/>
        <item t="default"/>
      </items>
    </pivotField>
    <pivotField showAll="0"/>
    <pivotField numFmtId="14" showAll="0"/>
    <pivotField numFmtId="14" showAll="0"/>
    <pivotField showAll="0"/>
    <pivotField showAll="0"/>
    <pivotField axis="axisPage" showAll="0">
      <items count="3">
        <item x="0"/>
        <item x="1"/>
        <item t="default"/>
      </items>
    </pivotField>
    <pivotField showAll="0" defaultSubtotal="0"/>
    <pivotField showAll="0"/>
    <pivotField showAll="0">
      <items count="3">
        <item x="1"/>
        <item x="0"/>
        <item t="default"/>
      </items>
    </pivotField>
    <pivotField showAll="0">
      <items count="13">
        <item x="11"/>
        <item x="3"/>
        <item x="0"/>
        <item x="6"/>
        <item x="9"/>
        <item x="4"/>
        <item x="1"/>
        <item x="5"/>
        <item x="10"/>
        <item x="7"/>
        <item x="2"/>
        <item x="8"/>
        <item t="default"/>
      </items>
    </pivotField>
    <pivotField axis="axisRow" showAll="0">
      <items count="8">
        <item x="1"/>
        <item x="2"/>
        <item x="3"/>
        <item x="4"/>
        <item x="5"/>
        <item x="6"/>
        <item x="0"/>
        <item t="default"/>
      </items>
    </pivotField>
    <pivotField showAll="0"/>
    <pivotField dataField="1" showAll="0"/>
    <pivotField showAll="0"/>
    <pivotField showAll="0"/>
  </pivotFields>
  <rowFields count="1">
    <field x="13"/>
  </rowFields>
  <rowItems count="8">
    <i>
      <x/>
    </i>
    <i>
      <x v="1"/>
    </i>
    <i>
      <x v="2"/>
    </i>
    <i>
      <x v="3"/>
    </i>
    <i>
      <x v="4"/>
    </i>
    <i>
      <x v="5"/>
    </i>
    <i>
      <x v="6"/>
    </i>
    <i t="grand">
      <x/>
    </i>
  </rowItems>
  <colItems count="1">
    <i/>
  </colItems>
  <pageFields count="1">
    <pageField fld="8" hier="-1"/>
  </pageFields>
  <dataFields count="1">
    <dataField name="Sum of Sales Revenue" fld="15" baseField="0" baseItem="0"/>
  </dataFields>
  <formats count="7">
    <format dxfId="32">
      <pivotArea field="2" type="button" dataOnly="0" labelOnly="1" outline="0"/>
    </format>
    <format dxfId="31">
      <pivotArea dataOnly="0" labelOnly="1" grandRow="1" outline="0" fieldPosition="0"/>
    </format>
    <format dxfId="30">
      <pivotArea field="13" type="button" dataOnly="0" labelOnly="1" outline="0" axis="axisRow" fieldPosition="0"/>
    </format>
    <format dxfId="29">
      <pivotArea dataOnly="0" labelOnly="1" outline="0" axis="axisValues" fieldPosition="0"/>
    </format>
    <format dxfId="28">
      <pivotArea dataOnly="0" labelOnly="1" outline="0" axis="axisValues" fieldPosition="0"/>
    </format>
    <format dxfId="27">
      <pivotArea field="8" type="button" dataOnly="0" labelOnly="1" outline="0" axis="axisPage" fieldPosition="0"/>
    </format>
    <format dxfId="26">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KPI 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3:E4" firstHeaderRow="1" firstDataRow="1" firstDataCol="0"/>
  <pivotFields count="18">
    <pivotField showAll="0"/>
    <pivotField dataField="1" showAll="0"/>
    <pivotField showAll="0"/>
    <pivotField showAll="0"/>
    <pivotField numFmtId="14" showAll="0"/>
    <pivotField numFmtId="14" showAll="0"/>
    <pivotField showAll="0"/>
    <pivotField showAll="0"/>
    <pivotField showAll="0"/>
    <pivotField showAll="0" defaultSubtotal="0"/>
    <pivotField showAll="0"/>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showAll="0"/>
    <pivotField showAll="0"/>
    <pivotField showAll="0"/>
  </pivotFields>
  <rowItems count="1">
    <i/>
  </rowItems>
  <colItems count="1">
    <i/>
  </colItems>
  <dataFields count="1">
    <dataField name="Count of Customer Name" fld="1" subtotal="count" baseField="0" baseItem="0"/>
  </dataFields>
  <formats count="2">
    <format dxfId="34">
      <pivotArea dataOnly="0" labelOnly="1" outline="0" axis="axisValues"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Sales Location"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120:B127" firstHeaderRow="1" firstDataRow="1" firstDataCol="1" rowPageCount="1" colPageCount="1"/>
  <pivotFields count="18">
    <pivotField showAll="0"/>
    <pivotField showAll="0"/>
    <pivotField showAll="0">
      <items count="6">
        <item x="4"/>
        <item x="0"/>
        <item x="2"/>
        <item x="1"/>
        <item x="3"/>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axis="axisRow" showAll="0" sortType="descending" defaultSubtotal="0">
      <items count="6">
        <item x="4"/>
        <item x="0"/>
        <item x="5"/>
        <item x="2"/>
        <item x="1"/>
        <item x="3"/>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showAll="0">
      <items count="13">
        <item x="11"/>
        <item x="3"/>
        <item x="0"/>
        <item x="6"/>
        <item x="9"/>
        <item x="4"/>
        <item x="1"/>
        <item x="5"/>
        <item x="10"/>
        <item x="7"/>
        <item x="2"/>
        <item x="8"/>
        <item t="default"/>
      </items>
    </pivotField>
    <pivotField showAll="0"/>
    <pivotField showAll="0"/>
    <pivotField dataField="1" showAll="0"/>
    <pivotField showAll="0"/>
    <pivotField showAll="0"/>
  </pivotFields>
  <rowFields count="1">
    <field x="9"/>
  </rowFields>
  <rowItems count="7">
    <i>
      <x v="1"/>
    </i>
    <i>
      <x v="4"/>
    </i>
    <i>
      <x v="3"/>
    </i>
    <i>
      <x v="5"/>
    </i>
    <i>
      <x v="2"/>
    </i>
    <i>
      <x/>
    </i>
    <i t="grand">
      <x/>
    </i>
  </rowItems>
  <colItems count="1">
    <i/>
  </colItems>
  <pageFields count="1">
    <pageField fld="8" hier="-1"/>
  </pageFields>
  <dataFields count="1">
    <dataField name="Sum of Sales Revenue" fld="15" baseField="0" baseItem="0"/>
  </dataFields>
  <formats count="6">
    <format dxfId="40">
      <pivotArea field="2" type="button" dataOnly="0" labelOnly="1" outline="0"/>
    </format>
    <format dxfId="39">
      <pivotArea dataOnly="0" labelOnly="1" grandRow="1" outline="0" fieldPosition="0"/>
    </format>
    <format dxfId="38">
      <pivotArea dataOnly="0" labelOnly="1" outline="0" axis="axisValues" fieldPosition="0"/>
    </format>
    <format dxfId="37">
      <pivotArea dataOnly="0" labelOnly="1" outline="0" axis="axisValues" fieldPosition="0"/>
    </format>
    <format dxfId="36">
      <pivotArea field="8" type="button" dataOnly="0" labelOnly="1" outline="0" axis="axisPage" fieldPosition="0"/>
    </format>
    <format dxfId="35">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Monthly Performance" cacheId="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80:D93" firstHeaderRow="0" firstDataRow="1" firstDataCol="1" rowPageCount="1" colPageCount="1"/>
  <pivotFields count="18">
    <pivotField showAll="0"/>
    <pivotField showAll="0"/>
    <pivotField showAll="0">
      <items count="6">
        <item x="4"/>
        <item x="0"/>
        <item x="2"/>
        <item x="1"/>
        <item x="3"/>
        <item t="default"/>
      </items>
    </pivotField>
    <pivotField showAll="0"/>
    <pivotField numFmtId="14" showAll="0"/>
    <pivotField numFmtId="14" showAll="0"/>
    <pivotField showAll="0"/>
    <pivotField showAll="0"/>
    <pivotField axis="axisPage" showAll="0">
      <items count="3">
        <item x="0"/>
        <item x="1"/>
        <item t="default"/>
      </items>
    </pivotField>
    <pivotField showAll="0" defaultSubtotal="0"/>
    <pivotField showAll="0"/>
    <pivotField showAll="0">
      <items count="3">
        <item x="1"/>
        <item x="0"/>
        <item t="default"/>
      </items>
    </pivotField>
    <pivotField axis="axisRow" showAll="0">
      <items count="13">
        <item x="11"/>
        <item x="3"/>
        <item x="0"/>
        <item x="6"/>
        <item x="9"/>
        <item x="4"/>
        <item x="1"/>
        <item x="5"/>
        <item x="10"/>
        <item x="7"/>
        <item x="2"/>
        <item x="8"/>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Sales Revenue" fld="15" baseField="0" baseItem="0"/>
    <dataField name="Sum of Total Cost" fld="16" baseField="0" baseItem="0"/>
    <dataField name="Sum of Net Profit" fld="17" baseField="0" baseItem="0"/>
  </dataFields>
  <formats count="7">
    <format dxfId="47">
      <pivotArea field="2" type="button" dataOnly="0" labelOnly="1" outline="0"/>
    </format>
    <format dxfId="46">
      <pivotArea dataOnly="0" labelOnly="1" outline="0" fieldPosition="0">
        <references count="1">
          <reference field="4294967294" count="3">
            <x v="0"/>
            <x v="1"/>
            <x v="2"/>
          </reference>
        </references>
      </pivotArea>
    </format>
    <format dxfId="45">
      <pivotArea dataOnly="0" labelOnly="1" grandRow="1" outline="0" fieldPosition="0"/>
    </format>
    <format dxfId="44">
      <pivotArea field="12" type="button" dataOnly="0" labelOnly="1" outline="0" axis="axisRow" fieldPosition="0"/>
    </format>
    <format dxfId="43">
      <pivotArea dataOnly="0" labelOnly="1" outline="0" fieldPosition="0">
        <references count="1">
          <reference field="4294967294" count="3">
            <x v="0"/>
            <x v="1"/>
            <x v="2"/>
          </reference>
        </references>
      </pivotArea>
    </format>
    <format dxfId="42">
      <pivotArea field="8" type="button" dataOnly="0" labelOnly="1" outline="0" axis="axisPage" fieldPosition="0"/>
    </format>
    <format dxfId="41">
      <pivotArea field="8"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12" name="KPI 1"/>
    <pivotTable tabId="12" name="Category Performance"/>
    <pivotTable tabId="12" name="KPI 2"/>
    <pivotTable tabId="12" name="Month"/>
    <pivotTable tabId="12" name="Month Table"/>
    <pivotTable tabId="12" name="Monthly Performance"/>
    <pivotTable tabId="12" name="Order Table"/>
    <pivotTable tabId="12" name="Payment Summary"/>
    <pivotTable tabId="12" name="Sales by Day"/>
    <pivotTable tabId="12" name="Sales Location"/>
    <pivotTable tabId="12" name="Status"/>
  </pivotTables>
  <data>
    <tabular pivotCacheId="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2" name="KPI 1"/>
    <pivotTable tabId="12" name="Category Performance"/>
    <pivotTable tabId="12" name="KPI 2"/>
    <pivotTable tabId="12" name="Month"/>
    <pivotTable tabId="12" name="Monthly Performance"/>
    <pivotTable tabId="12" name="Payment Summary"/>
    <pivotTable tabId="12" name="Sales by Day"/>
    <pivotTable tabId="12" name="Sales Location"/>
    <pivotTable tabId="12" name="Status"/>
  </pivotTables>
  <data>
    <tabular pivotCacheId="1">
      <items count="12">
        <i x="11" s="1"/>
        <i x="3" s="1"/>
        <i x="0" s="1"/>
        <i x="6" s="1"/>
        <i x="9" s="1"/>
        <i x="4" s="1"/>
        <i x="1" s="1"/>
        <i x="5" s="1"/>
        <i x="10" s="1"/>
        <i x="7" s="1"/>
        <i x="2"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duct_Category" sourceName="Product Category">
  <pivotTables>
    <pivotTable tabId="12" name="KPI 1"/>
  </pivotTables>
  <data>
    <tabular pivotCacheId="1">
      <items count="5">
        <i x="4" s="1"/>
        <i x="0"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ales_Location" sourceName="Sales Location">
  <pivotTables>
    <pivotTable tabId="12" name="KPI 1"/>
  </pivotTables>
  <data>
    <tabular pivotCacheId="1">
      <items count="6">
        <i x="4" s="1"/>
        <i x="0" s="1"/>
        <i x="5"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2" rowHeight="241300"/>
  <slicer name="Month" cache="Slicer_Month" caption="Month" columnCount="6" rowHeight="241300"/>
  <slicer name="Product Category" cache="Slicer_Product_Category" caption="Product Category" columnCount="2" rowHeight="241300"/>
  <slicer name="Sales Location" cache="Slicer_Sales_Location" caption="Sales Location" columnCount="2" rowHeight="241300"/>
</slicers>
</file>

<file path=xl/tables/table1.xml><?xml version="1.0" encoding="utf-8"?>
<table xmlns="http://schemas.openxmlformats.org/spreadsheetml/2006/main" id="1" name="tblSales" displayName="tblSales" ref="A1:R1001" totalsRowShown="0" headerRowDxfId="67" dataDxfId="66">
  <autoFilter ref="A1:R1001"/>
  <tableColumns count="18">
    <tableColumn id="1" name="Order ID" dataDxfId="65"/>
    <tableColumn id="2" name="Customer Name"/>
    <tableColumn id="3" name="Product Category"/>
    <tableColumn id="4" name="Product Name"/>
    <tableColumn id="5" name="Order Date" dataDxfId="64"/>
    <tableColumn id="6" name="Delivered Date" dataDxfId="63"/>
    <tableColumn id="7" name="Quantity" dataDxfId="62"/>
    <tableColumn id="8" name="Unit Price" dataDxfId="61"/>
    <tableColumn id="9" name="Status"/>
    <tableColumn id="10" name="Sales Location"/>
    <tableColumn id="11" name="Payment Method"/>
    <tableColumn id="12" name="Year" dataDxfId="60">
      <calculatedColumnFormula>TEXT(E2, "YYYY")</calculatedColumnFormula>
    </tableColumn>
    <tableColumn id="13" name="Month">
      <calculatedColumnFormula>TEXT(E2, "MMM")</calculatedColumnFormula>
    </tableColumn>
    <tableColumn id="14" name="Day">
      <calculatedColumnFormula>TEXT(E2, "DDD")</calculatedColumnFormula>
    </tableColumn>
    <tableColumn id="15" name="Delivery Time" dataDxfId="59">
      <calculatedColumnFormula>DATEDIF(E2, F2, "D")</calculatedColumnFormula>
    </tableColumn>
    <tableColumn id="16" name="Sales Revenue" dataDxfId="58">
      <calculatedColumnFormula>G2*H2</calculatedColumnFormula>
    </tableColumn>
    <tableColumn id="17" name="Total Cost" dataDxfId="57">
      <calculatedColumnFormula>ROUND(G2*H2*VLOOKUP(D2,'Cost Product'!A$1:C$21,3,FALSE),0)</calculatedColumnFormula>
    </tableColumn>
    <tableColumn id="18" name="Net Profit" dataDxfId="56">
      <calculatedColumnFormula>P2-Q2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F23"/>
  <sheetViews>
    <sheetView workbookViewId="0">
      <selection activeCell="C4" sqref="C4:C23"/>
    </sheetView>
  </sheetViews>
  <sheetFormatPr defaultRowHeight="15" x14ac:dyDescent="0.25"/>
  <cols>
    <col min="2" max="2" width="16.7109375" bestFit="1" customWidth="1"/>
    <col min="3" max="3" width="21.140625" bestFit="1" customWidth="1"/>
    <col min="4" max="4" width="10.85546875" bestFit="1" customWidth="1"/>
    <col min="5" max="5" width="15.42578125" bestFit="1" customWidth="1"/>
    <col min="6" max="6" width="16.85546875" bestFit="1" customWidth="1"/>
  </cols>
  <sheetData>
    <row r="3" spans="2:6" x14ac:dyDescent="0.25">
      <c r="B3" s="2" t="s">
        <v>2</v>
      </c>
      <c r="C3" s="2" t="s">
        <v>3</v>
      </c>
      <c r="D3" s="2" t="s">
        <v>7</v>
      </c>
      <c r="E3" s="2" t="s">
        <v>2140</v>
      </c>
      <c r="F3" s="2" t="s">
        <v>2085</v>
      </c>
    </row>
    <row r="4" spans="2:6" x14ac:dyDescent="0.25">
      <c r="B4" t="s">
        <v>65</v>
      </c>
      <c r="C4" s="26" t="s">
        <v>66</v>
      </c>
      <c r="D4" t="s">
        <v>13</v>
      </c>
      <c r="E4" t="s">
        <v>2141</v>
      </c>
      <c r="F4" t="s">
        <v>19</v>
      </c>
    </row>
    <row r="5" spans="2:6" x14ac:dyDescent="0.25">
      <c r="B5" t="s">
        <v>26</v>
      </c>
      <c r="C5" s="26" t="s">
        <v>120</v>
      </c>
      <c r="D5" t="s">
        <v>40</v>
      </c>
      <c r="E5" t="s">
        <v>2142</v>
      </c>
      <c r="F5" t="s">
        <v>14</v>
      </c>
    </row>
    <row r="6" spans="2:6" x14ac:dyDescent="0.25">
      <c r="B6" t="s">
        <v>22</v>
      </c>
      <c r="C6" s="26" t="s">
        <v>115</v>
      </c>
      <c r="E6" t="s">
        <v>2143</v>
      </c>
      <c r="F6" t="s">
        <v>28</v>
      </c>
    </row>
    <row r="7" spans="2:6" x14ac:dyDescent="0.25">
      <c r="B7" t="s">
        <v>11</v>
      </c>
      <c r="C7" s="26" t="s">
        <v>99</v>
      </c>
      <c r="E7" t="s">
        <v>2144</v>
      </c>
    </row>
    <row r="8" spans="2:6" x14ac:dyDescent="0.25">
      <c r="B8" t="s">
        <v>17</v>
      </c>
      <c r="C8" s="26" t="s">
        <v>104</v>
      </c>
      <c r="E8" t="s">
        <v>2145</v>
      </c>
    </row>
    <row r="9" spans="2:6" x14ac:dyDescent="0.25">
      <c r="C9" s="26" t="s">
        <v>45</v>
      </c>
      <c r="E9" t="s">
        <v>2146</v>
      </c>
    </row>
    <row r="10" spans="2:6" x14ac:dyDescent="0.25">
      <c r="C10" s="26" t="s">
        <v>82</v>
      </c>
    </row>
    <row r="11" spans="2:6" x14ac:dyDescent="0.25">
      <c r="C11" s="26" t="s">
        <v>27</v>
      </c>
    </row>
    <row r="12" spans="2:6" x14ac:dyDescent="0.25">
      <c r="C12" s="26" t="s">
        <v>56</v>
      </c>
    </row>
    <row r="13" spans="2:6" x14ac:dyDescent="0.25">
      <c r="C13" s="26" t="s">
        <v>62</v>
      </c>
    </row>
    <row r="14" spans="2:6" x14ac:dyDescent="0.25">
      <c r="C14" s="26" t="s">
        <v>23</v>
      </c>
    </row>
    <row r="15" spans="2:6" x14ac:dyDescent="0.25">
      <c r="C15" s="26" t="s">
        <v>59</v>
      </c>
    </row>
    <row r="16" spans="2:6" x14ac:dyDescent="0.25">
      <c r="C16" s="26" t="s">
        <v>31</v>
      </c>
    </row>
    <row r="17" spans="3:3" x14ac:dyDescent="0.25">
      <c r="C17" s="26" t="s">
        <v>39</v>
      </c>
    </row>
    <row r="18" spans="3:3" x14ac:dyDescent="0.25">
      <c r="C18" s="26" t="s">
        <v>12</v>
      </c>
    </row>
    <row r="19" spans="3:3" x14ac:dyDescent="0.25">
      <c r="C19" s="26" t="s">
        <v>36</v>
      </c>
    </row>
    <row r="20" spans="3:3" x14ac:dyDescent="0.25">
      <c r="C20" s="26" t="s">
        <v>50</v>
      </c>
    </row>
    <row r="21" spans="3:3" x14ac:dyDescent="0.25">
      <c r="C21" s="26" t="s">
        <v>18</v>
      </c>
    </row>
    <row r="22" spans="3:3" x14ac:dyDescent="0.25">
      <c r="C22" s="26" t="s">
        <v>53</v>
      </c>
    </row>
    <row r="23" spans="3:3" x14ac:dyDescent="0.25">
      <c r="C23" s="26" t="s">
        <v>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34"/>
  <sheetViews>
    <sheetView tabSelected="1" zoomScaleNormal="100" workbookViewId="0">
      <selection activeCell="C14" sqref="C14"/>
    </sheetView>
  </sheetViews>
  <sheetFormatPr defaultRowHeight="15" x14ac:dyDescent="0.25"/>
  <cols>
    <col min="1" max="1" width="11.7109375" style="1" customWidth="1"/>
    <col min="2" max="2" width="22.140625" bestFit="1" customWidth="1"/>
    <col min="3" max="3" width="18.28515625" customWidth="1"/>
    <col min="4" max="4" width="21.140625" style="3" bestFit="1" customWidth="1"/>
    <col min="5" max="5" width="15.7109375" customWidth="1"/>
    <col min="6" max="6" width="16.42578125" customWidth="1"/>
    <col min="7" max="7" width="10.85546875" style="1" customWidth="1"/>
    <col min="8" max="8" width="19.7109375" style="1" bestFit="1" customWidth="1"/>
    <col min="9" max="9" width="12.7109375" customWidth="1"/>
    <col min="10" max="10" width="18.140625" bestFit="1" customWidth="1"/>
    <col min="11" max="11" width="21.42578125" customWidth="1"/>
    <col min="15" max="15" width="15.42578125" customWidth="1"/>
    <col min="16" max="16" width="16" customWidth="1"/>
    <col min="17" max="17" width="14" bestFit="1" customWidth="1"/>
    <col min="18" max="18" width="11.85546875" customWidth="1"/>
  </cols>
  <sheetData>
    <row r="1" spans="1:18" s="2" customFormat="1" x14ac:dyDescent="0.25">
      <c r="A1" s="2" t="s">
        <v>0</v>
      </c>
      <c r="B1" s="2" t="s">
        <v>1</v>
      </c>
      <c r="C1" s="2" t="s">
        <v>2</v>
      </c>
      <c r="D1" s="5" t="s">
        <v>3</v>
      </c>
      <c r="E1" s="2" t="s">
        <v>4</v>
      </c>
      <c r="F1" s="2" t="s">
        <v>5</v>
      </c>
      <c r="G1" s="2" t="s">
        <v>6</v>
      </c>
      <c r="H1" s="2" t="s">
        <v>2042</v>
      </c>
      <c r="I1" s="2" t="s">
        <v>7</v>
      </c>
      <c r="J1" s="2" t="s">
        <v>2140</v>
      </c>
      <c r="K1" s="2" t="s">
        <v>8</v>
      </c>
      <c r="L1" s="2" t="s">
        <v>2043</v>
      </c>
      <c r="M1" s="2" t="s">
        <v>2044</v>
      </c>
      <c r="N1" s="2" t="s">
        <v>2045</v>
      </c>
      <c r="O1" s="2" t="s">
        <v>2046</v>
      </c>
      <c r="P1" s="2" t="s">
        <v>2047</v>
      </c>
      <c r="Q1" s="2" t="s">
        <v>2049</v>
      </c>
      <c r="R1" s="2" t="s">
        <v>2048</v>
      </c>
    </row>
    <row r="2" spans="1:18" x14ac:dyDescent="0.25">
      <c r="A2" s="1" t="s">
        <v>9</v>
      </c>
      <c r="B2" t="s">
        <v>10</v>
      </c>
      <c r="C2" t="s">
        <v>11</v>
      </c>
      <c r="D2" t="s">
        <v>12</v>
      </c>
      <c r="E2" s="4">
        <v>45381</v>
      </c>
      <c r="F2" s="4">
        <v>45387</v>
      </c>
      <c r="G2" s="1">
        <v>3</v>
      </c>
      <c r="H2" s="1">
        <v>6.5</v>
      </c>
      <c r="I2" t="s">
        <v>13</v>
      </c>
      <c r="J2" t="s">
        <v>2141</v>
      </c>
      <c r="K2" t="s">
        <v>14</v>
      </c>
      <c r="L2" s="1" t="str">
        <f>TEXT(E2, "YYYY")</f>
        <v>2024</v>
      </c>
      <c r="M2" t="str">
        <f>TEXT(E2, "MMM")</f>
        <v>Mar</v>
      </c>
      <c r="N2" t="str">
        <f>TEXT(E2, "DDD")</f>
        <v>Sat</v>
      </c>
      <c r="O2" s="1">
        <f>DATEDIF(E2, F2, "D")</f>
        <v>6</v>
      </c>
      <c r="P2" s="1">
        <f>G2*H2</f>
        <v>19.5</v>
      </c>
      <c r="Q2" s="1">
        <f>ROUND(G2*H2*VLOOKUP(D2,'Cost Product'!A$1:C$21,3,FALSE),0)</f>
        <v>11</v>
      </c>
      <c r="R2" s="1">
        <f>P2-Q2</f>
        <v>8.5</v>
      </c>
    </row>
    <row r="3" spans="1:18" x14ac:dyDescent="0.25">
      <c r="A3" s="1" t="s">
        <v>15</v>
      </c>
      <c r="B3" t="s">
        <v>16</v>
      </c>
      <c r="C3" t="s">
        <v>17</v>
      </c>
      <c r="D3" t="s">
        <v>18</v>
      </c>
      <c r="E3" s="4">
        <v>45115</v>
      </c>
      <c r="F3" s="4">
        <v>45122</v>
      </c>
      <c r="G3" s="1">
        <v>3</v>
      </c>
      <c r="H3" s="1">
        <v>5.5</v>
      </c>
      <c r="I3" t="s">
        <v>13</v>
      </c>
      <c r="J3" t="s">
        <v>2142</v>
      </c>
      <c r="K3" t="s">
        <v>19</v>
      </c>
      <c r="L3" s="1" t="str">
        <f t="shared" ref="L3:L66" si="0">TEXT(E3, "YYYY")</f>
        <v>2023</v>
      </c>
      <c r="M3" t="str">
        <f t="shared" ref="M3:M66" si="1">TEXT(E3, "MMM")</f>
        <v>Jul</v>
      </c>
      <c r="N3" t="str">
        <f t="shared" ref="N3:N66" si="2">TEXT(E3, "DDD")</f>
        <v>Sat</v>
      </c>
      <c r="O3" s="1">
        <f t="shared" ref="O3:O66" si="3">DATEDIF(E3, F3, "D")</f>
        <v>7</v>
      </c>
      <c r="P3" s="1">
        <f t="shared" ref="P3:P66" si="4">G3*H3</f>
        <v>16.5</v>
      </c>
      <c r="Q3" s="1">
        <f>ROUND(G3*H3*VLOOKUP(D3,'Cost Product'!A$1:C$21,3,FALSE),0)</f>
        <v>10</v>
      </c>
      <c r="R3" s="1">
        <f t="shared" ref="R3:R66" si="5">P3-Q3</f>
        <v>6.5</v>
      </c>
    </row>
    <row r="4" spans="1:18" x14ac:dyDescent="0.25">
      <c r="A4" s="1" t="s">
        <v>20</v>
      </c>
      <c r="B4" t="s">
        <v>21</v>
      </c>
      <c r="C4" t="s">
        <v>22</v>
      </c>
      <c r="D4" t="s">
        <v>23</v>
      </c>
      <c r="E4" s="4">
        <v>45256</v>
      </c>
      <c r="F4" s="4">
        <v>45259</v>
      </c>
      <c r="G4" s="1">
        <v>4</v>
      </c>
      <c r="H4" s="1">
        <v>10</v>
      </c>
      <c r="I4" t="s">
        <v>13</v>
      </c>
      <c r="J4" t="s">
        <v>2141</v>
      </c>
      <c r="K4" t="s">
        <v>19</v>
      </c>
      <c r="L4" s="1" t="str">
        <f t="shared" si="0"/>
        <v>2023</v>
      </c>
      <c r="M4" t="str">
        <f t="shared" si="1"/>
        <v>Nov</v>
      </c>
      <c r="N4" t="str">
        <f t="shared" si="2"/>
        <v>Sun</v>
      </c>
      <c r="O4" s="1">
        <f t="shared" si="3"/>
        <v>3</v>
      </c>
      <c r="P4" s="1">
        <f t="shared" si="4"/>
        <v>40</v>
      </c>
      <c r="Q4" s="1">
        <f>ROUND(G4*H4*VLOOKUP(D4,'Cost Product'!A$1:C$21,3,FALSE),0)</f>
        <v>26</v>
      </c>
      <c r="R4" s="1">
        <f t="shared" si="5"/>
        <v>14</v>
      </c>
    </row>
    <row r="5" spans="1:18" x14ac:dyDescent="0.25">
      <c r="A5" s="1" t="s">
        <v>24</v>
      </c>
      <c r="B5" t="s">
        <v>25</v>
      </c>
      <c r="C5" t="s">
        <v>26</v>
      </c>
      <c r="D5" t="s">
        <v>27</v>
      </c>
      <c r="E5" s="4">
        <v>45339</v>
      </c>
      <c r="F5" s="4">
        <v>45340</v>
      </c>
      <c r="G5" s="1">
        <v>3</v>
      </c>
      <c r="H5" s="1">
        <v>4.75</v>
      </c>
      <c r="I5" t="s">
        <v>13</v>
      </c>
      <c r="J5" t="s">
        <v>2142</v>
      </c>
      <c r="K5" t="s">
        <v>28</v>
      </c>
      <c r="L5" s="1" t="str">
        <f t="shared" si="0"/>
        <v>2024</v>
      </c>
      <c r="M5" t="str">
        <f t="shared" si="1"/>
        <v>Feb</v>
      </c>
      <c r="N5" t="str">
        <f t="shared" si="2"/>
        <v>Sat</v>
      </c>
      <c r="O5" s="1">
        <f t="shared" si="3"/>
        <v>1</v>
      </c>
      <c r="P5" s="1">
        <f t="shared" si="4"/>
        <v>14.25</v>
      </c>
      <c r="Q5" s="1">
        <f>ROUND(G5*H5*VLOOKUP(D5,'Cost Product'!A$1:C$21,3,FALSE),0)</f>
        <v>8</v>
      </c>
      <c r="R5" s="1">
        <f t="shared" si="5"/>
        <v>6.25</v>
      </c>
    </row>
    <row r="6" spans="1:18" x14ac:dyDescent="0.25">
      <c r="A6" s="1" t="s">
        <v>29</v>
      </c>
      <c r="B6" t="s">
        <v>30</v>
      </c>
      <c r="C6" t="s">
        <v>11</v>
      </c>
      <c r="D6" t="s">
        <v>31</v>
      </c>
      <c r="E6" s="4">
        <v>45467</v>
      </c>
      <c r="F6" s="4">
        <v>45469</v>
      </c>
      <c r="G6" s="1">
        <v>4</v>
      </c>
      <c r="H6" s="1">
        <v>5.5</v>
      </c>
      <c r="I6" t="s">
        <v>13</v>
      </c>
      <c r="J6" t="s">
        <v>2144</v>
      </c>
      <c r="K6" t="s">
        <v>28</v>
      </c>
      <c r="L6" s="1" t="str">
        <f t="shared" si="0"/>
        <v>2024</v>
      </c>
      <c r="M6" t="str">
        <f t="shared" si="1"/>
        <v>Jun</v>
      </c>
      <c r="N6" t="str">
        <f t="shared" si="2"/>
        <v>Mon</v>
      </c>
      <c r="O6" s="1">
        <f t="shared" si="3"/>
        <v>2</v>
      </c>
      <c r="P6" s="1">
        <f t="shared" si="4"/>
        <v>22</v>
      </c>
      <c r="Q6" s="1">
        <f>ROUND(G6*H6*VLOOKUP(D6,'Cost Product'!A$1:C$21,3,FALSE),0)</f>
        <v>11</v>
      </c>
      <c r="R6" s="1">
        <f t="shared" si="5"/>
        <v>11</v>
      </c>
    </row>
    <row r="7" spans="1:18" x14ac:dyDescent="0.25">
      <c r="A7" s="1" t="s">
        <v>32</v>
      </c>
      <c r="B7" t="s">
        <v>33</v>
      </c>
      <c r="C7" t="s">
        <v>11</v>
      </c>
      <c r="D7" t="s">
        <v>31</v>
      </c>
      <c r="E7" s="4">
        <v>45146</v>
      </c>
      <c r="F7" s="4">
        <v>45150</v>
      </c>
      <c r="G7" s="1">
        <v>1</v>
      </c>
      <c r="H7" s="1">
        <v>5.5</v>
      </c>
      <c r="I7" t="s">
        <v>13</v>
      </c>
      <c r="J7" t="s">
        <v>2141</v>
      </c>
      <c r="K7" t="s">
        <v>19</v>
      </c>
      <c r="L7" s="1" t="str">
        <f t="shared" si="0"/>
        <v>2023</v>
      </c>
      <c r="M7" t="str">
        <f t="shared" si="1"/>
        <v>Aug</v>
      </c>
      <c r="N7" t="str">
        <f t="shared" si="2"/>
        <v>Tue</v>
      </c>
      <c r="O7" s="1">
        <f t="shared" si="3"/>
        <v>4</v>
      </c>
      <c r="P7" s="1">
        <f t="shared" si="4"/>
        <v>5.5</v>
      </c>
      <c r="Q7" s="1">
        <f>ROUND(G7*H7*VLOOKUP(D7,'Cost Product'!A$1:C$21,3,FALSE),0)</f>
        <v>3</v>
      </c>
      <c r="R7" s="1">
        <f t="shared" si="5"/>
        <v>2.5</v>
      </c>
    </row>
    <row r="8" spans="1:18" x14ac:dyDescent="0.25">
      <c r="A8" s="1" t="s">
        <v>34</v>
      </c>
      <c r="B8" t="s">
        <v>35</v>
      </c>
      <c r="C8" t="s">
        <v>11</v>
      </c>
      <c r="D8" t="s">
        <v>36</v>
      </c>
      <c r="E8" s="4">
        <v>45391</v>
      </c>
      <c r="F8" s="4">
        <v>45392</v>
      </c>
      <c r="G8" s="1">
        <v>2</v>
      </c>
      <c r="H8" s="1">
        <v>6.25</v>
      </c>
      <c r="I8" t="s">
        <v>13</v>
      </c>
      <c r="J8" t="s">
        <v>2141</v>
      </c>
      <c r="K8" t="s">
        <v>28</v>
      </c>
      <c r="L8" s="1" t="str">
        <f t="shared" si="0"/>
        <v>2024</v>
      </c>
      <c r="M8" t="str">
        <f t="shared" si="1"/>
        <v>Apr</v>
      </c>
      <c r="N8" t="str">
        <f t="shared" si="2"/>
        <v>Tue</v>
      </c>
      <c r="O8" s="1">
        <f t="shared" si="3"/>
        <v>1</v>
      </c>
      <c r="P8" s="1">
        <f t="shared" si="4"/>
        <v>12.5</v>
      </c>
      <c r="Q8" s="1">
        <f>ROUND(G8*H8*VLOOKUP(D8,'Cost Product'!A$1:C$21,3,FALSE),0)</f>
        <v>7</v>
      </c>
      <c r="R8" s="1">
        <f t="shared" si="5"/>
        <v>5.5</v>
      </c>
    </row>
    <row r="9" spans="1:18" x14ac:dyDescent="0.25">
      <c r="A9" s="1" t="s">
        <v>37</v>
      </c>
      <c r="B9" t="s">
        <v>38</v>
      </c>
      <c r="C9" t="s">
        <v>11</v>
      </c>
      <c r="D9" t="s">
        <v>39</v>
      </c>
      <c r="E9" s="4">
        <v>45210</v>
      </c>
      <c r="F9" s="4">
        <v>45211</v>
      </c>
      <c r="G9" s="1">
        <v>3</v>
      </c>
      <c r="H9" s="1">
        <v>5.75</v>
      </c>
      <c r="I9" t="s">
        <v>40</v>
      </c>
      <c r="J9" t="s">
        <v>2141</v>
      </c>
      <c r="K9" t="s">
        <v>28</v>
      </c>
      <c r="L9" s="1" t="str">
        <f t="shared" si="0"/>
        <v>2023</v>
      </c>
      <c r="M9" t="str">
        <f t="shared" si="1"/>
        <v>Oct</v>
      </c>
      <c r="N9" t="str">
        <f t="shared" si="2"/>
        <v>Wed</v>
      </c>
      <c r="O9" s="1">
        <f t="shared" si="3"/>
        <v>1</v>
      </c>
      <c r="P9" s="1">
        <f t="shared" si="4"/>
        <v>17.25</v>
      </c>
      <c r="Q9" s="1">
        <f>ROUND(G9*H9*VLOOKUP(D9,'Cost Product'!A$1:C$21,3,FALSE),0)</f>
        <v>9</v>
      </c>
      <c r="R9" s="1">
        <f t="shared" si="5"/>
        <v>8.25</v>
      </c>
    </row>
    <row r="10" spans="1:18" x14ac:dyDescent="0.25">
      <c r="A10" s="1" t="s">
        <v>41</v>
      </c>
      <c r="B10" t="s">
        <v>42</v>
      </c>
      <c r="C10" t="s">
        <v>17</v>
      </c>
      <c r="D10" t="s">
        <v>18</v>
      </c>
      <c r="E10" s="4">
        <v>45530</v>
      </c>
      <c r="F10" s="4">
        <v>45533</v>
      </c>
      <c r="G10" s="1">
        <v>4</v>
      </c>
      <c r="H10" s="1">
        <v>5.5</v>
      </c>
      <c r="I10" t="s">
        <v>40</v>
      </c>
      <c r="J10" t="s">
        <v>2144</v>
      </c>
      <c r="K10" t="s">
        <v>28</v>
      </c>
      <c r="L10" s="1" t="str">
        <f t="shared" si="0"/>
        <v>2024</v>
      </c>
      <c r="M10" t="str">
        <f t="shared" si="1"/>
        <v>Aug</v>
      </c>
      <c r="N10" t="str">
        <f t="shared" si="2"/>
        <v>Mon</v>
      </c>
      <c r="O10" s="1">
        <f t="shared" si="3"/>
        <v>3</v>
      </c>
      <c r="P10" s="1">
        <f t="shared" si="4"/>
        <v>22</v>
      </c>
      <c r="Q10" s="1">
        <f>ROUND(G10*H10*VLOOKUP(D10,'Cost Product'!A$1:C$21,3,FALSE),0)</f>
        <v>13</v>
      </c>
      <c r="R10" s="1">
        <f t="shared" si="5"/>
        <v>9</v>
      </c>
    </row>
    <row r="11" spans="1:18" x14ac:dyDescent="0.25">
      <c r="A11" s="1" t="s">
        <v>43</v>
      </c>
      <c r="B11" t="s">
        <v>44</v>
      </c>
      <c r="C11" t="s">
        <v>26</v>
      </c>
      <c r="D11" t="s">
        <v>45</v>
      </c>
      <c r="E11" s="4">
        <v>45533</v>
      </c>
      <c r="F11" s="4">
        <v>45536</v>
      </c>
      <c r="G11" s="1">
        <v>1</v>
      </c>
      <c r="H11" s="1">
        <v>4.5</v>
      </c>
      <c r="I11" t="s">
        <v>13</v>
      </c>
      <c r="J11" t="s">
        <v>2144</v>
      </c>
      <c r="K11" t="s">
        <v>28</v>
      </c>
      <c r="L11" s="1" t="str">
        <f t="shared" si="0"/>
        <v>2024</v>
      </c>
      <c r="M11" t="str">
        <f t="shared" si="1"/>
        <v>Aug</v>
      </c>
      <c r="N11" t="str">
        <f t="shared" si="2"/>
        <v>Thu</v>
      </c>
      <c r="O11" s="1">
        <f t="shared" si="3"/>
        <v>3</v>
      </c>
      <c r="P11" s="1">
        <f t="shared" si="4"/>
        <v>4.5</v>
      </c>
      <c r="Q11" s="1">
        <f>ROUND(G11*H11*VLOOKUP(D11,'Cost Product'!A$1:C$21,3,FALSE),0)</f>
        <v>2</v>
      </c>
      <c r="R11" s="1">
        <f t="shared" si="5"/>
        <v>2.5</v>
      </c>
    </row>
    <row r="12" spans="1:18" x14ac:dyDescent="0.25">
      <c r="A12" s="1" t="s">
        <v>46</v>
      </c>
      <c r="B12" t="s">
        <v>47</v>
      </c>
      <c r="C12" t="s">
        <v>11</v>
      </c>
      <c r="D12" t="s">
        <v>31</v>
      </c>
      <c r="E12" s="4">
        <v>45285</v>
      </c>
      <c r="F12" s="4">
        <v>45292</v>
      </c>
      <c r="G12" s="1">
        <v>5</v>
      </c>
      <c r="H12" s="1">
        <v>5.5</v>
      </c>
      <c r="I12" t="s">
        <v>13</v>
      </c>
      <c r="J12" t="s">
        <v>2141</v>
      </c>
      <c r="K12" t="s">
        <v>28</v>
      </c>
      <c r="L12" s="1" t="str">
        <f t="shared" si="0"/>
        <v>2023</v>
      </c>
      <c r="M12" t="str">
        <f t="shared" si="1"/>
        <v>Dec</v>
      </c>
      <c r="N12" t="str">
        <f t="shared" si="2"/>
        <v>Mon</v>
      </c>
      <c r="O12" s="1">
        <f t="shared" si="3"/>
        <v>7</v>
      </c>
      <c r="P12" s="1">
        <f t="shared" si="4"/>
        <v>27.5</v>
      </c>
      <c r="Q12" s="1">
        <f>ROUND(G12*H12*VLOOKUP(D12,'Cost Product'!A$1:C$21,3,FALSE),0)</f>
        <v>14</v>
      </c>
      <c r="R12" s="1">
        <f t="shared" si="5"/>
        <v>13.5</v>
      </c>
    </row>
    <row r="13" spans="1:18" x14ac:dyDescent="0.25">
      <c r="A13" s="1" t="s">
        <v>48</v>
      </c>
      <c r="B13" t="s">
        <v>49</v>
      </c>
      <c r="C13" t="s">
        <v>17</v>
      </c>
      <c r="D13" t="s">
        <v>50</v>
      </c>
      <c r="E13" s="4">
        <v>45205</v>
      </c>
      <c r="F13" s="4">
        <v>45213</v>
      </c>
      <c r="G13" s="1">
        <v>3</v>
      </c>
      <c r="H13" s="1">
        <v>5.25</v>
      </c>
      <c r="I13" t="s">
        <v>13</v>
      </c>
      <c r="J13" t="s">
        <v>2141</v>
      </c>
      <c r="K13" t="s">
        <v>28</v>
      </c>
      <c r="L13" s="1" t="str">
        <f t="shared" si="0"/>
        <v>2023</v>
      </c>
      <c r="M13" t="str">
        <f t="shared" si="1"/>
        <v>Oct</v>
      </c>
      <c r="N13" t="str">
        <f t="shared" si="2"/>
        <v>Fri</v>
      </c>
      <c r="O13" s="1">
        <f t="shared" si="3"/>
        <v>8</v>
      </c>
      <c r="P13" s="1">
        <f t="shared" si="4"/>
        <v>15.75</v>
      </c>
      <c r="Q13" s="1">
        <f>ROUND(G13*H13*VLOOKUP(D13,'Cost Product'!A$1:C$21,3,FALSE),0)</f>
        <v>9</v>
      </c>
      <c r="R13" s="1">
        <f t="shared" si="5"/>
        <v>6.75</v>
      </c>
    </row>
    <row r="14" spans="1:18" x14ac:dyDescent="0.25">
      <c r="A14" s="1" t="s">
        <v>51</v>
      </c>
      <c r="B14" t="s">
        <v>52</v>
      </c>
      <c r="C14" t="s">
        <v>17</v>
      </c>
      <c r="D14" t="s">
        <v>53</v>
      </c>
      <c r="E14" s="4">
        <v>45437</v>
      </c>
      <c r="F14" s="4">
        <v>45439</v>
      </c>
      <c r="G14" s="1">
        <v>4</v>
      </c>
      <c r="H14" s="1">
        <v>4.75</v>
      </c>
      <c r="I14" t="s">
        <v>13</v>
      </c>
      <c r="J14" t="s">
        <v>2141</v>
      </c>
      <c r="K14" t="s">
        <v>19</v>
      </c>
      <c r="L14" s="1" t="str">
        <f t="shared" si="0"/>
        <v>2024</v>
      </c>
      <c r="M14" t="str">
        <f t="shared" si="1"/>
        <v>May</v>
      </c>
      <c r="N14" t="str">
        <f t="shared" si="2"/>
        <v>Sat</v>
      </c>
      <c r="O14" s="1">
        <f t="shared" si="3"/>
        <v>2</v>
      </c>
      <c r="P14" s="1">
        <f t="shared" si="4"/>
        <v>19</v>
      </c>
      <c r="Q14" s="1">
        <f>ROUND(G14*H14*VLOOKUP(D14,'Cost Product'!A$1:C$21,3,FALSE),0)</f>
        <v>10</v>
      </c>
      <c r="R14" s="1">
        <f t="shared" si="5"/>
        <v>9</v>
      </c>
    </row>
    <row r="15" spans="1:18" x14ac:dyDescent="0.25">
      <c r="A15" s="1" t="s">
        <v>54</v>
      </c>
      <c r="B15" t="s">
        <v>55</v>
      </c>
      <c r="C15" t="s">
        <v>22</v>
      </c>
      <c r="D15" t="s">
        <v>56</v>
      </c>
      <c r="E15" s="4">
        <v>45516</v>
      </c>
      <c r="F15" s="4">
        <v>45519</v>
      </c>
      <c r="G15" s="1">
        <v>3</v>
      </c>
      <c r="H15" s="1">
        <v>8.75</v>
      </c>
      <c r="I15" t="s">
        <v>13</v>
      </c>
      <c r="J15" t="s">
        <v>2143</v>
      </c>
      <c r="K15" t="s">
        <v>19</v>
      </c>
      <c r="L15" s="1" t="str">
        <f t="shared" si="0"/>
        <v>2024</v>
      </c>
      <c r="M15" t="str">
        <f t="shared" si="1"/>
        <v>Aug</v>
      </c>
      <c r="N15" t="str">
        <f t="shared" si="2"/>
        <v>Mon</v>
      </c>
      <c r="O15" s="1">
        <f t="shared" si="3"/>
        <v>3</v>
      </c>
      <c r="P15" s="1">
        <f t="shared" si="4"/>
        <v>26.25</v>
      </c>
      <c r="Q15" s="1">
        <f>ROUND(G15*H15*VLOOKUP(D15,'Cost Product'!A$1:C$21,3,FALSE),0)</f>
        <v>15</v>
      </c>
      <c r="R15" s="1">
        <f t="shared" si="5"/>
        <v>11.25</v>
      </c>
    </row>
    <row r="16" spans="1:18" x14ac:dyDescent="0.25">
      <c r="A16" s="1" t="s">
        <v>57</v>
      </c>
      <c r="B16" t="s">
        <v>58</v>
      </c>
      <c r="C16" t="s">
        <v>22</v>
      </c>
      <c r="D16" t="s">
        <v>59</v>
      </c>
      <c r="E16" s="4">
        <v>45336</v>
      </c>
      <c r="F16" s="4">
        <v>45337</v>
      </c>
      <c r="G16" s="1">
        <v>2</v>
      </c>
      <c r="H16" s="1">
        <v>8.5</v>
      </c>
      <c r="I16" t="s">
        <v>13</v>
      </c>
      <c r="J16" t="s">
        <v>2141</v>
      </c>
      <c r="K16" t="s">
        <v>28</v>
      </c>
      <c r="L16" s="1" t="str">
        <f t="shared" si="0"/>
        <v>2024</v>
      </c>
      <c r="M16" t="str">
        <f t="shared" si="1"/>
        <v>Feb</v>
      </c>
      <c r="N16" t="str">
        <f t="shared" si="2"/>
        <v>Wed</v>
      </c>
      <c r="O16" s="1">
        <f t="shared" si="3"/>
        <v>1</v>
      </c>
      <c r="P16" s="1">
        <f t="shared" si="4"/>
        <v>17</v>
      </c>
      <c r="Q16" s="1">
        <f>ROUND(G16*H16*VLOOKUP(D16,'Cost Product'!A$1:C$21,3,FALSE),0)</f>
        <v>10</v>
      </c>
      <c r="R16" s="1">
        <f t="shared" si="5"/>
        <v>7</v>
      </c>
    </row>
    <row r="17" spans="1:18" x14ac:dyDescent="0.25">
      <c r="A17" s="1" t="s">
        <v>60</v>
      </c>
      <c r="B17" t="s">
        <v>61</v>
      </c>
      <c r="C17" t="s">
        <v>22</v>
      </c>
      <c r="D17" t="s">
        <v>62</v>
      </c>
      <c r="E17" s="4">
        <v>45202</v>
      </c>
      <c r="F17" s="4">
        <v>45204</v>
      </c>
      <c r="G17" s="1">
        <v>4</v>
      </c>
      <c r="H17" s="1">
        <v>8</v>
      </c>
      <c r="I17" t="s">
        <v>13</v>
      </c>
      <c r="J17" t="s">
        <v>2144</v>
      </c>
      <c r="K17" t="s">
        <v>28</v>
      </c>
      <c r="L17" s="1" t="str">
        <f t="shared" si="0"/>
        <v>2023</v>
      </c>
      <c r="M17" t="str">
        <f t="shared" si="1"/>
        <v>Oct</v>
      </c>
      <c r="N17" t="str">
        <f t="shared" si="2"/>
        <v>Tue</v>
      </c>
      <c r="O17" s="1">
        <f t="shared" si="3"/>
        <v>2</v>
      </c>
      <c r="P17" s="1">
        <f t="shared" si="4"/>
        <v>32</v>
      </c>
      <c r="Q17" s="1">
        <f>ROUND(G17*H17*VLOOKUP(D17,'Cost Product'!A$1:C$21,3,FALSE),0)</f>
        <v>19</v>
      </c>
      <c r="R17" s="1">
        <f t="shared" si="5"/>
        <v>13</v>
      </c>
    </row>
    <row r="18" spans="1:18" x14ac:dyDescent="0.25">
      <c r="A18" s="1" t="s">
        <v>63</v>
      </c>
      <c r="B18" t="s">
        <v>64</v>
      </c>
      <c r="C18" t="s">
        <v>65</v>
      </c>
      <c r="D18" t="s">
        <v>66</v>
      </c>
      <c r="E18" s="4">
        <v>45274</v>
      </c>
      <c r="F18" s="4">
        <v>45276</v>
      </c>
      <c r="G18" s="1">
        <v>3</v>
      </c>
      <c r="H18" s="1">
        <v>3.5</v>
      </c>
      <c r="I18" t="s">
        <v>13</v>
      </c>
      <c r="J18" t="s">
        <v>2146</v>
      </c>
      <c r="K18" t="s">
        <v>28</v>
      </c>
      <c r="L18" s="1" t="str">
        <f t="shared" si="0"/>
        <v>2023</v>
      </c>
      <c r="M18" t="str">
        <f t="shared" si="1"/>
        <v>Dec</v>
      </c>
      <c r="N18" t="str">
        <f t="shared" si="2"/>
        <v>Thu</v>
      </c>
      <c r="O18" s="1">
        <f t="shared" si="3"/>
        <v>2</v>
      </c>
      <c r="P18" s="1">
        <f t="shared" si="4"/>
        <v>10.5</v>
      </c>
      <c r="Q18" s="1">
        <f>ROUND(G18*H18*VLOOKUP(D18,'Cost Product'!A$1:C$21,3,FALSE),0)</f>
        <v>5</v>
      </c>
      <c r="R18" s="1">
        <f t="shared" si="5"/>
        <v>5.5</v>
      </c>
    </row>
    <row r="19" spans="1:18" x14ac:dyDescent="0.25">
      <c r="A19" s="1" t="s">
        <v>67</v>
      </c>
      <c r="B19" t="s">
        <v>68</v>
      </c>
      <c r="C19" t="s">
        <v>11</v>
      </c>
      <c r="D19" t="s">
        <v>12</v>
      </c>
      <c r="E19" s="4">
        <v>45266</v>
      </c>
      <c r="F19" s="4">
        <v>45268</v>
      </c>
      <c r="G19" s="1">
        <v>5</v>
      </c>
      <c r="H19" s="1">
        <v>6.5</v>
      </c>
      <c r="I19" t="s">
        <v>13</v>
      </c>
      <c r="J19" t="s">
        <v>2141</v>
      </c>
      <c r="K19" t="s">
        <v>28</v>
      </c>
      <c r="L19" s="1" t="str">
        <f t="shared" si="0"/>
        <v>2023</v>
      </c>
      <c r="M19" t="str">
        <f t="shared" si="1"/>
        <v>Dec</v>
      </c>
      <c r="N19" t="str">
        <f t="shared" si="2"/>
        <v>Wed</v>
      </c>
      <c r="O19" s="1">
        <f t="shared" si="3"/>
        <v>2</v>
      </c>
      <c r="P19" s="1">
        <f t="shared" si="4"/>
        <v>32.5</v>
      </c>
      <c r="Q19" s="1">
        <f>ROUND(G19*H19*VLOOKUP(D19,'Cost Product'!A$1:C$21,3,FALSE),0)</f>
        <v>19</v>
      </c>
      <c r="R19" s="1">
        <f t="shared" si="5"/>
        <v>13.5</v>
      </c>
    </row>
    <row r="20" spans="1:18" x14ac:dyDescent="0.25">
      <c r="A20" s="1" t="s">
        <v>69</v>
      </c>
      <c r="B20" t="s">
        <v>70</v>
      </c>
      <c r="C20" t="s">
        <v>17</v>
      </c>
      <c r="D20" t="s">
        <v>18</v>
      </c>
      <c r="E20" s="4">
        <v>45442</v>
      </c>
      <c r="F20" s="4">
        <v>45443</v>
      </c>
      <c r="G20" s="1">
        <v>4</v>
      </c>
      <c r="H20" s="1">
        <v>5.5</v>
      </c>
      <c r="I20" t="s">
        <v>13</v>
      </c>
      <c r="J20" t="s">
        <v>2141</v>
      </c>
      <c r="K20" t="s">
        <v>28</v>
      </c>
      <c r="L20" s="1" t="str">
        <f>TEXT(E20, "YYYY")</f>
        <v>2024</v>
      </c>
      <c r="M20" t="str">
        <f t="shared" si="1"/>
        <v>May</v>
      </c>
      <c r="N20" t="str">
        <f t="shared" si="2"/>
        <v>Thu</v>
      </c>
      <c r="O20" s="1">
        <f t="shared" si="3"/>
        <v>1</v>
      </c>
      <c r="P20" s="1">
        <f t="shared" si="4"/>
        <v>22</v>
      </c>
      <c r="Q20" s="1">
        <f>ROUND(G20*H20*VLOOKUP(D20,'Cost Product'!A$1:C$21,3,FALSE),0)</f>
        <v>13</v>
      </c>
      <c r="R20" s="1">
        <f t="shared" si="5"/>
        <v>9</v>
      </c>
    </row>
    <row r="21" spans="1:18" x14ac:dyDescent="0.25">
      <c r="A21" s="1" t="s">
        <v>71</v>
      </c>
      <c r="B21" t="s">
        <v>72</v>
      </c>
      <c r="C21" t="s">
        <v>22</v>
      </c>
      <c r="D21" t="s">
        <v>23</v>
      </c>
      <c r="E21" s="4">
        <v>45528</v>
      </c>
      <c r="F21" s="4">
        <v>45538</v>
      </c>
      <c r="G21" s="1">
        <v>1</v>
      </c>
      <c r="H21" s="1">
        <v>10</v>
      </c>
      <c r="I21" t="s">
        <v>13</v>
      </c>
      <c r="J21" t="s">
        <v>2144</v>
      </c>
      <c r="K21" t="s">
        <v>19</v>
      </c>
      <c r="L21" s="1" t="str">
        <f t="shared" si="0"/>
        <v>2024</v>
      </c>
      <c r="M21" t="str">
        <f t="shared" si="1"/>
        <v>Aug</v>
      </c>
      <c r="N21" t="str">
        <f t="shared" si="2"/>
        <v>Sat</v>
      </c>
      <c r="O21" s="1">
        <f t="shared" si="3"/>
        <v>10</v>
      </c>
      <c r="P21" s="1">
        <f t="shared" si="4"/>
        <v>10</v>
      </c>
      <c r="Q21" s="1">
        <f>ROUND(G21*H21*VLOOKUP(D21,'Cost Product'!A$1:C$21,3,FALSE),0)</f>
        <v>7</v>
      </c>
      <c r="R21" s="1">
        <f t="shared" si="5"/>
        <v>3</v>
      </c>
    </row>
    <row r="22" spans="1:18" x14ac:dyDescent="0.25">
      <c r="A22" s="1" t="s">
        <v>73</v>
      </c>
      <c r="B22" t="s">
        <v>74</v>
      </c>
      <c r="C22" t="s">
        <v>11</v>
      </c>
      <c r="D22" t="s">
        <v>31</v>
      </c>
      <c r="E22" s="4">
        <v>45189</v>
      </c>
      <c r="F22" s="4">
        <v>45193</v>
      </c>
      <c r="G22" s="1">
        <v>2</v>
      </c>
      <c r="H22" s="1">
        <v>5.5</v>
      </c>
      <c r="I22" t="s">
        <v>40</v>
      </c>
      <c r="J22" t="s">
        <v>2146</v>
      </c>
      <c r="K22" t="s">
        <v>28</v>
      </c>
      <c r="L22" s="1" t="str">
        <f t="shared" si="0"/>
        <v>2023</v>
      </c>
      <c r="M22" t="str">
        <f t="shared" si="1"/>
        <v>Sep</v>
      </c>
      <c r="N22" t="str">
        <f t="shared" si="2"/>
        <v>Wed</v>
      </c>
      <c r="O22" s="1">
        <f t="shared" si="3"/>
        <v>4</v>
      </c>
      <c r="P22" s="1">
        <f t="shared" si="4"/>
        <v>11</v>
      </c>
      <c r="Q22" s="1">
        <f>ROUND(G22*H22*VLOOKUP(D22,'Cost Product'!A$1:C$21,3,FALSE),0)</f>
        <v>6</v>
      </c>
      <c r="R22" s="1">
        <f t="shared" si="5"/>
        <v>5</v>
      </c>
    </row>
    <row r="23" spans="1:18" x14ac:dyDescent="0.25">
      <c r="A23" s="1" t="s">
        <v>75</v>
      </c>
      <c r="B23" t="s">
        <v>76</v>
      </c>
      <c r="C23" t="s">
        <v>11</v>
      </c>
      <c r="D23" t="s">
        <v>12</v>
      </c>
      <c r="E23" s="4">
        <v>45542</v>
      </c>
      <c r="F23" s="4">
        <v>45543</v>
      </c>
      <c r="G23" s="1">
        <v>4</v>
      </c>
      <c r="H23" s="1">
        <v>6.5</v>
      </c>
      <c r="I23" t="s">
        <v>13</v>
      </c>
      <c r="J23" t="s">
        <v>2143</v>
      </c>
      <c r="K23" t="s">
        <v>14</v>
      </c>
      <c r="L23" s="1" t="str">
        <f t="shared" si="0"/>
        <v>2024</v>
      </c>
      <c r="M23" t="str">
        <f t="shared" si="1"/>
        <v>Sep</v>
      </c>
      <c r="N23" t="str">
        <f t="shared" si="2"/>
        <v>Sat</v>
      </c>
      <c r="O23" s="1">
        <f t="shared" si="3"/>
        <v>1</v>
      </c>
      <c r="P23" s="1">
        <f t="shared" si="4"/>
        <v>26</v>
      </c>
      <c r="Q23" s="1">
        <f>ROUND(G23*H23*VLOOKUP(D23,'Cost Product'!A$1:C$21,3,FALSE),0)</f>
        <v>15</v>
      </c>
      <c r="R23" s="1">
        <f t="shared" si="5"/>
        <v>11</v>
      </c>
    </row>
    <row r="24" spans="1:18" x14ac:dyDescent="0.25">
      <c r="A24" s="1" t="s">
        <v>77</v>
      </c>
      <c r="B24" t="s">
        <v>78</v>
      </c>
      <c r="C24" t="s">
        <v>17</v>
      </c>
      <c r="D24" t="s">
        <v>79</v>
      </c>
      <c r="E24" s="4">
        <v>45536</v>
      </c>
      <c r="F24" s="4">
        <v>45537</v>
      </c>
      <c r="G24" s="1">
        <v>4</v>
      </c>
      <c r="H24" s="1">
        <v>5</v>
      </c>
      <c r="I24" t="s">
        <v>13</v>
      </c>
      <c r="J24" t="s">
        <v>2141</v>
      </c>
      <c r="K24" t="s">
        <v>19</v>
      </c>
      <c r="L24" s="1" t="str">
        <f t="shared" si="0"/>
        <v>2024</v>
      </c>
      <c r="M24" t="str">
        <f t="shared" si="1"/>
        <v>Sep</v>
      </c>
      <c r="N24" t="str">
        <f t="shared" si="2"/>
        <v>Sun</v>
      </c>
      <c r="O24" s="1">
        <f t="shared" si="3"/>
        <v>1</v>
      </c>
      <c r="P24" s="1">
        <f t="shared" si="4"/>
        <v>20</v>
      </c>
      <c r="Q24" s="1">
        <f>ROUND(G24*H24*VLOOKUP(D24,'Cost Product'!A$1:C$21,3,FALSE),0)</f>
        <v>11</v>
      </c>
      <c r="R24" s="1">
        <f t="shared" si="5"/>
        <v>9</v>
      </c>
    </row>
    <row r="25" spans="1:18" x14ac:dyDescent="0.25">
      <c r="A25" s="1" t="s">
        <v>80</v>
      </c>
      <c r="B25" t="s">
        <v>81</v>
      </c>
      <c r="C25" t="s">
        <v>26</v>
      </c>
      <c r="D25" t="s">
        <v>82</v>
      </c>
      <c r="E25" s="4">
        <v>45190</v>
      </c>
      <c r="F25" s="4">
        <v>45194</v>
      </c>
      <c r="G25" s="1">
        <v>3</v>
      </c>
      <c r="H25" s="1">
        <v>4.25</v>
      </c>
      <c r="I25" t="s">
        <v>13</v>
      </c>
      <c r="J25" t="s">
        <v>2141</v>
      </c>
      <c r="K25" t="s">
        <v>19</v>
      </c>
      <c r="L25" s="1" t="str">
        <f t="shared" si="0"/>
        <v>2023</v>
      </c>
      <c r="M25" t="str">
        <f t="shared" si="1"/>
        <v>Sep</v>
      </c>
      <c r="N25" t="str">
        <f t="shared" si="2"/>
        <v>Thu</v>
      </c>
      <c r="O25" s="1">
        <f t="shared" si="3"/>
        <v>4</v>
      </c>
      <c r="P25" s="1">
        <f t="shared" si="4"/>
        <v>12.75</v>
      </c>
      <c r="Q25" s="1">
        <f>ROUND(G25*H25*VLOOKUP(D25,'Cost Product'!A$1:C$21,3,FALSE),0)</f>
        <v>6</v>
      </c>
      <c r="R25" s="1">
        <f t="shared" si="5"/>
        <v>6.75</v>
      </c>
    </row>
    <row r="26" spans="1:18" x14ac:dyDescent="0.25">
      <c r="A26" s="1" t="s">
        <v>83</v>
      </c>
      <c r="B26" t="s">
        <v>84</v>
      </c>
      <c r="C26" t="s">
        <v>22</v>
      </c>
      <c r="D26" t="s">
        <v>62</v>
      </c>
      <c r="E26" s="4">
        <v>45466</v>
      </c>
      <c r="F26" s="4">
        <v>45475</v>
      </c>
      <c r="G26" s="1">
        <v>4</v>
      </c>
      <c r="H26" s="1">
        <v>8</v>
      </c>
      <c r="I26" t="s">
        <v>13</v>
      </c>
      <c r="J26" t="s">
        <v>2145</v>
      </c>
      <c r="K26" t="s">
        <v>28</v>
      </c>
      <c r="L26" s="1" t="str">
        <f t="shared" si="0"/>
        <v>2024</v>
      </c>
      <c r="M26" t="str">
        <f t="shared" si="1"/>
        <v>Jun</v>
      </c>
      <c r="N26" t="str">
        <f t="shared" si="2"/>
        <v>Sun</v>
      </c>
      <c r="O26" s="1">
        <f t="shared" si="3"/>
        <v>9</v>
      </c>
      <c r="P26" s="1">
        <f t="shared" si="4"/>
        <v>32</v>
      </c>
      <c r="Q26" s="1">
        <f>ROUND(G26*H26*VLOOKUP(D26,'Cost Product'!A$1:C$21,3,FALSE),0)</f>
        <v>19</v>
      </c>
      <c r="R26" s="1">
        <f t="shared" si="5"/>
        <v>13</v>
      </c>
    </row>
    <row r="27" spans="1:18" x14ac:dyDescent="0.25">
      <c r="A27" s="1" t="s">
        <v>85</v>
      </c>
      <c r="B27" t="s">
        <v>86</v>
      </c>
      <c r="C27" t="s">
        <v>22</v>
      </c>
      <c r="D27" t="s">
        <v>62</v>
      </c>
      <c r="E27" s="4">
        <v>45593</v>
      </c>
      <c r="F27" s="4">
        <v>45601</v>
      </c>
      <c r="G27" s="1">
        <v>5</v>
      </c>
      <c r="H27" s="1">
        <v>8</v>
      </c>
      <c r="I27" t="s">
        <v>13</v>
      </c>
      <c r="J27" t="s">
        <v>2141</v>
      </c>
      <c r="K27" t="s">
        <v>28</v>
      </c>
      <c r="L27" s="1" t="str">
        <f t="shared" si="0"/>
        <v>2024</v>
      </c>
      <c r="M27" t="str">
        <f t="shared" si="1"/>
        <v>Oct</v>
      </c>
      <c r="N27" t="str">
        <f t="shared" si="2"/>
        <v>Mon</v>
      </c>
      <c r="O27" s="1">
        <f t="shared" si="3"/>
        <v>8</v>
      </c>
      <c r="P27" s="1">
        <f t="shared" si="4"/>
        <v>40</v>
      </c>
      <c r="Q27" s="1">
        <f>ROUND(G27*H27*VLOOKUP(D27,'Cost Product'!A$1:C$21,3,FALSE),0)</f>
        <v>23</v>
      </c>
      <c r="R27" s="1">
        <f t="shared" si="5"/>
        <v>17</v>
      </c>
    </row>
    <row r="28" spans="1:18" x14ac:dyDescent="0.25">
      <c r="A28" s="1" t="s">
        <v>87</v>
      </c>
      <c r="B28" t="s">
        <v>88</v>
      </c>
      <c r="C28" t="s">
        <v>11</v>
      </c>
      <c r="D28" t="s">
        <v>12</v>
      </c>
      <c r="E28" s="4">
        <v>45187</v>
      </c>
      <c r="F28" s="4">
        <v>45188</v>
      </c>
      <c r="G28" s="1">
        <v>2</v>
      </c>
      <c r="H28" s="1">
        <v>6.5</v>
      </c>
      <c r="I28" t="s">
        <v>13</v>
      </c>
      <c r="J28" t="s">
        <v>2141</v>
      </c>
      <c r="K28" t="s">
        <v>19</v>
      </c>
      <c r="L28" s="1" t="str">
        <f t="shared" si="0"/>
        <v>2023</v>
      </c>
      <c r="M28" t="str">
        <f t="shared" si="1"/>
        <v>Sep</v>
      </c>
      <c r="N28" t="str">
        <f t="shared" si="2"/>
        <v>Mon</v>
      </c>
      <c r="O28" s="1">
        <f t="shared" si="3"/>
        <v>1</v>
      </c>
      <c r="P28" s="1">
        <f t="shared" si="4"/>
        <v>13</v>
      </c>
      <c r="Q28" s="1">
        <f>ROUND(G28*H28*VLOOKUP(D28,'Cost Product'!A$1:C$21,3,FALSE),0)</f>
        <v>8</v>
      </c>
      <c r="R28" s="1">
        <f t="shared" si="5"/>
        <v>5</v>
      </c>
    </row>
    <row r="29" spans="1:18" x14ac:dyDescent="0.25">
      <c r="A29" s="1" t="s">
        <v>89</v>
      </c>
      <c r="B29" t="s">
        <v>90</v>
      </c>
      <c r="C29" t="s">
        <v>11</v>
      </c>
      <c r="D29" t="s">
        <v>31</v>
      </c>
      <c r="E29" s="4">
        <v>45318</v>
      </c>
      <c r="F29" s="4">
        <v>45319</v>
      </c>
      <c r="G29" s="1">
        <v>4</v>
      </c>
      <c r="H29" s="1">
        <v>5.5</v>
      </c>
      <c r="I29" t="s">
        <v>13</v>
      </c>
      <c r="J29" t="s">
        <v>2141</v>
      </c>
      <c r="K29" t="s">
        <v>28</v>
      </c>
      <c r="L29" s="1" t="str">
        <f t="shared" si="0"/>
        <v>2024</v>
      </c>
      <c r="M29" t="str">
        <f t="shared" si="1"/>
        <v>Jan</v>
      </c>
      <c r="N29" t="str">
        <f t="shared" si="2"/>
        <v>Sat</v>
      </c>
      <c r="O29" s="1">
        <f t="shared" si="3"/>
        <v>1</v>
      </c>
      <c r="P29" s="1">
        <f t="shared" si="4"/>
        <v>22</v>
      </c>
      <c r="Q29" s="1">
        <f>ROUND(G29*H29*VLOOKUP(D29,'Cost Product'!A$1:C$21,3,FALSE),0)</f>
        <v>11</v>
      </c>
      <c r="R29" s="1">
        <f t="shared" si="5"/>
        <v>11</v>
      </c>
    </row>
    <row r="30" spans="1:18" x14ac:dyDescent="0.25">
      <c r="A30" s="1" t="s">
        <v>91</v>
      </c>
      <c r="B30" t="s">
        <v>92</v>
      </c>
      <c r="C30" t="s">
        <v>26</v>
      </c>
      <c r="D30" t="s">
        <v>45</v>
      </c>
      <c r="E30" s="4">
        <v>45536</v>
      </c>
      <c r="F30" s="4">
        <v>45542</v>
      </c>
      <c r="G30" s="1">
        <v>5</v>
      </c>
      <c r="H30" s="1">
        <v>4.5</v>
      </c>
      <c r="I30" t="s">
        <v>13</v>
      </c>
      <c r="J30" t="s">
        <v>2142</v>
      </c>
      <c r="K30" t="s">
        <v>19</v>
      </c>
      <c r="L30" s="1" t="str">
        <f t="shared" si="0"/>
        <v>2024</v>
      </c>
      <c r="M30" t="str">
        <f t="shared" si="1"/>
        <v>Sep</v>
      </c>
      <c r="N30" t="str">
        <f t="shared" si="2"/>
        <v>Sun</v>
      </c>
      <c r="O30" s="1">
        <f t="shared" si="3"/>
        <v>6</v>
      </c>
      <c r="P30" s="1">
        <f t="shared" si="4"/>
        <v>22.5</v>
      </c>
      <c r="Q30" s="1">
        <f>ROUND(G30*H30*VLOOKUP(D30,'Cost Product'!A$1:C$21,3,FALSE),0)</f>
        <v>12</v>
      </c>
      <c r="R30" s="1">
        <f t="shared" si="5"/>
        <v>10.5</v>
      </c>
    </row>
    <row r="31" spans="1:18" x14ac:dyDescent="0.25">
      <c r="A31" s="1" t="s">
        <v>93</v>
      </c>
      <c r="B31" t="s">
        <v>94</v>
      </c>
      <c r="C31" t="s">
        <v>22</v>
      </c>
      <c r="D31" t="s">
        <v>59</v>
      </c>
      <c r="E31" s="4">
        <v>45370</v>
      </c>
      <c r="F31" s="4">
        <v>45378</v>
      </c>
      <c r="G31" s="1">
        <v>4</v>
      </c>
      <c r="H31" s="1">
        <v>8.5</v>
      </c>
      <c r="I31" t="s">
        <v>13</v>
      </c>
      <c r="J31" t="s">
        <v>2145</v>
      </c>
      <c r="K31" t="s">
        <v>19</v>
      </c>
      <c r="L31" s="1" t="str">
        <f t="shared" si="0"/>
        <v>2024</v>
      </c>
      <c r="M31" t="str">
        <f t="shared" si="1"/>
        <v>Mar</v>
      </c>
      <c r="N31" t="str">
        <f t="shared" si="2"/>
        <v>Tue</v>
      </c>
      <c r="O31" s="1">
        <f t="shared" si="3"/>
        <v>8</v>
      </c>
      <c r="P31" s="1">
        <f t="shared" si="4"/>
        <v>34</v>
      </c>
      <c r="Q31" s="1">
        <f>ROUND(G31*H31*VLOOKUP(D31,'Cost Product'!A$1:C$21,3,FALSE),0)</f>
        <v>20</v>
      </c>
      <c r="R31" s="1">
        <f t="shared" si="5"/>
        <v>14</v>
      </c>
    </row>
    <row r="32" spans="1:18" x14ac:dyDescent="0.25">
      <c r="A32" s="1" t="s">
        <v>95</v>
      </c>
      <c r="B32" t="s">
        <v>96</v>
      </c>
      <c r="C32" t="s">
        <v>11</v>
      </c>
      <c r="D32" t="s">
        <v>12</v>
      </c>
      <c r="E32" s="4">
        <v>45200</v>
      </c>
      <c r="F32" s="4">
        <v>45201</v>
      </c>
      <c r="G32" s="1">
        <v>1</v>
      </c>
      <c r="H32" s="1">
        <v>6.5</v>
      </c>
      <c r="I32" t="s">
        <v>13</v>
      </c>
      <c r="J32" t="s">
        <v>2143</v>
      </c>
      <c r="K32" t="s">
        <v>19</v>
      </c>
      <c r="L32" s="1" t="str">
        <f t="shared" si="0"/>
        <v>2023</v>
      </c>
      <c r="M32" t="str">
        <f t="shared" si="1"/>
        <v>Oct</v>
      </c>
      <c r="N32" t="str">
        <f t="shared" si="2"/>
        <v>Sun</v>
      </c>
      <c r="O32" s="1">
        <f t="shared" si="3"/>
        <v>1</v>
      </c>
      <c r="P32" s="1">
        <f t="shared" si="4"/>
        <v>6.5</v>
      </c>
      <c r="Q32" s="1">
        <f>ROUND(G32*H32*VLOOKUP(D32,'Cost Product'!A$1:C$21,3,FALSE),0)</f>
        <v>4</v>
      </c>
      <c r="R32" s="1">
        <f t="shared" si="5"/>
        <v>2.5</v>
      </c>
    </row>
    <row r="33" spans="1:18" x14ac:dyDescent="0.25">
      <c r="A33" s="1" t="s">
        <v>97</v>
      </c>
      <c r="B33" t="s">
        <v>98</v>
      </c>
      <c r="C33" t="s">
        <v>65</v>
      </c>
      <c r="D33" t="s">
        <v>99</v>
      </c>
      <c r="E33" s="4">
        <v>45446</v>
      </c>
      <c r="F33" s="4">
        <v>45449</v>
      </c>
      <c r="G33" s="1">
        <v>2</v>
      </c>
      <c r="H33" s="1">
        <v>4</v>
      </c>
      <c r="I33" t="s">
        <v>13</v>
      </c>
      <c r="J33" t="s">
        <v>2142</v>
      </c>
      <c r="K33" t="s">
        <v>28</v>
      </c>
      <c r="L33" s="1" t="str">
        <f t="shared" si="0"/>
        <v>2024</v>
      </c>
      <c r="M33" t="str">
        <f t="shared" si="1"/>
        <v>Jun</v>
      </c>
      <c r="N33" t="str">
        <f t="shared" si="2"/>
        <v>Mon</v>
      </c>
      <c r="O33" s="1">
        <f t="shared" si="3"/>
        <v>3</v>
      </c>
      <c r="P33" s="1">
        <f t="shared" si="4"/>
        <v>8</v>
      </c>
      <c r="Q33" s="1">
        <f>ROUND(G33*H33*VLOOKUP(D33,'Cost Product'!A$1:C$21,3,FALSE),0)</f>
        <v>4</v>
      </c>
      <c r="R33" s="1">
        <f t="shared" si="5"/>
        <v>4</v>
      </c>
    </row>
    <row r="34" spans="1:18" x14ac:dyDescent="0.25">
      <c r="A34" s="1" t="s">
        <v>100</v>
      </c>
      <c r="B34" t="s">
        <v>101</v>
      </c>
      <c r="C34" t="s">
        <v>22</v>
      </c>
      <c r="D34" t="s">
        <v>62</v>
      </c>
      <c r="E34" s="4">
        <v>45397</v>
      </c>
      <c r="F34" s="4">
        <v>45400</v>
      </c>
      <c r="G34" s="1">
        <v>4</v>
      </c>
      <c r="H34" s="1">
        <v>8</v>
      </c>
      <c r="I34" t="s">
        <v>13</v>
      </c>
      <c r="J34" t="s">
        <v>2141</v>
      </c>
      <c r="K34" t="s">
        <v>14</v>
      </c>
      <c r="L34" s="1" t="str">
        <f t="shared" si="0"/>
        <v>2024</v>
      </c>
      <c r="M34" t="str">
        <f t="shared" si="1"/>
        <v>Apr</v>
      </c>
      <c r="N34" t="str">
        <f t="shared" si="2"/>
        <v>Mon</v>
      </c>
      <c r="O34" s="1">
        <f t="shared" si="3"/>
        <v>3</v>
      </c>
      <c r="P34" s="1">
        <f t="shared" si="4"/>
        <v>32</v>
      </c>
      <c r="Q34" s="1">
        <f>ROUND(G34*H34*VLOOKUP(D34,'Cost Product'!A$1:C$21,3,FALSE),0)</f>
        <v>19</v>
      </c>
      <c r="R34" s="1">
        <f t="shared" si="5"/>
        <v>13</v>
      </c>
    </row>
    <row r="35" spans="1:18" x14ac:dyDescent="0.25">
      <c r="A35" s="1" t="s">
        <v>102</v>
      </c>
      <c r="B35" t="s">
        <v>103</v>
      </c>
      <c r="C35" t="s">
        <v>26</v>
      </c>
      <c r="D35" t="s">
        <v>104</v>
      </c>
      <c r="E35" s="4">
        <v>45218</v>
      </c>
      <c r="F35" s="4">
        <v>45224</v>
      </c>
      <c r="G35" s="1">
        <v>1</v>
      </c>
      <c r="H35" s="1">
        <v>4.5</v>
      </c>
      <c r="I35" t="s">
        <v>13</v>
      </c>
      <c r="J35" t="s">
        <v>2145</v>
      </c>
      <c r="K35" t="s">
        <v>28</v>
      </c>
      <c r="L35" s="1" t="str">
        <f t="shared" si="0"/>
        <v>2023</v>
      </c>
      <c r="M35" t="str">
        <f t="shared" si="1"/>
        <v>Oct</v>
      </c>
      <c r="N35" t="str">
        <f t="shared" si="2"/>
        <v>Thu</v>
      </c>
      <c r="O35" s="1">
        <f t="shared" si="3"/>
        <v>6</v>
      </c>
      <c r="P35" s="1">
        <f t="shared" si="4"/>
        <v>4.5</v>
      </c>
      <c r="Q35" s="1">
        <f>ROUND(G35*H35*VLOOKUP(D35,'Cost Product'!A$1:C$21,3,FALSE),0)</f>
        <v>2</v>
      </c>
      <c r="R35" s="1">
        <f t="shared" si="5"/>
        <v>2.5</v>
      </c>
    </row>
    <row r="36" spans="1:18" x14ac:dyDescent="0.25">
      <c r="A36" s="1" t="s">
        <v>105</v>
      </c>
      <c r="B36" t="s">
        <v>106</v>
      </c>
      <c r="C36" t="s">
        <v>17</v>
      </c>
      <c r="D36" t="s">
        <v>50</v>
      </c>
      <c r="E36" s="4">
        <v>45423</v>
      </c>
      <c r="F36" s="4">
        <v>45433</v>
      </c>
      <c r="G36" s="1">
        <v>2</v>
      </c>
      <c r="H36" s="1">
        <v>5.25</v>
      </c>
      <c r="I36" t="s">
        <v>13</v>
      </c>
      <c r="J36" t="s">
        <v>2144</v>
      </c>
      <c r="K36" t="s">
        <v>19</v>
      </c>
      <c r="L36" s="1" t="str">
        <f t="shared" si="0"/>
        <v>2024</v>
      </c>
      <c r="M36" t="str">
        <f t="shared" si="1"/>
        <v>May</v>
      </c>
      <c r="N36" t="str">
        <f t="shared" si="2"/>
        <v>Sat</v>
      </c>
      <c r="O36" s="1">
        <f t="shared" si="3"/>
        <v>10</v>
      </c>
      <c r="P36" s="1">
        <f t="shared" si="4"/>
        <v>10.5</v>
      </c>
      <c r="Q36" s="1">
        <f>ROUND(G36*H36*VLOOKUP(D36,'Cost Product'!A$1:C$21,3,FALSE),0)</f>
        <v>6</v>
      </c>
      <c r="R36" s="1">
        <f t="shared" si="5"/>
        <v>4.5</v>
      </c>
    </row>
    <row r="37" spans="1:18" x14ac:dyDescent="0.25">
      <c r="A37" s="1" t="s">
        <v>107</v>
      </c>
      <c r="B37" t="s">
        <v>108</v>
      </c>
      <c r="C37" t="s">
        <v>22</v>
      </c>
      <c r="D37" t="s">
        <v>59</v>
      </c>
      <c r="E37" s="4">
        <v>45587</v>
      </c>
      <c r="F37" s="4">
        <v>45588</v>
      </c>
      <c r="G37" s="1">
        <v>5</v>
      </c>
      <c r="H37" s="1">
        <v>8.5</v>
      </c>
      <c r="I37" t="s">
        <v>13</v>
      </c>
      <c r="J37" t="s">
        <v>2144</v>
      </c>
      <c r="K37" t="s">
        <v>14</v>
      </c>
      <c r="L37" s="1" t="str">
        <f t="shared" si="0"/>
        <v>2024</v>
      </c>
      <c r="M37" t="str">
        <f t="shared" si="1"/>
        <v>Oct</v>
      </c>
      <c r="N37" t="str">
        <f t="shared" si="2"/>
        <v>Tue</v>
      </c>
      <c r="O37" s="1">
        <f t="shared" si="3"/>
        <v>1</v>
      </c>
      <c r="P37" s="1">
        <f t="shared" si="4"/>
        <v>42.5</v>
      </c>
      <c r="Q37" s="1">
        <f>ROUND(G37*H37*VLOOKUP(D37,'Cost Product'!A$1:C$21,3,FALSE),0)</f>
        <v>26</v>
      </c>
      <c r="R37" s="1">
        <f t="shared" si="5"/>
        <v>16.5</v>
      </c>
    </row>
    <row r="38" spans="1:18" x14ac:dyDescent="0.25">
      <c r="A38" s="1" t="s">
        <v>109</v>
      </c>
      <c r="B38" t="s">
        <v>110</v>
      </c>
      <c r="C38" t="s">
        <v>65</v>
      </c>
      <c r="D38" t="s">
        <v>66</v>
      </c>
      <c r="E38" s="4">
        <v>45133</v>
      </c>
      <c r="F38" s="4">
        <v>45136</v>
      </c>
      <c r="G38" s="1">
        <v>3</v>
      </c>
      <c r="H38" s="1">
        <v>3.5</v>
      </c>
      <c r="I38" t="s">
        <v>13</v>
      </c>
      <c r="J38" t="s">
        <v>2142</v>
      </c>
      <c r="K38" t="s">
        <v>28</v>
      </c>
      <c r="L38" s="1" t="str">
        <f t="shared" si="0"/>
        <v>2023</v>
      </c>
      <c r="M38" t="str">
        <f t="shared" si="1"/>
        <v>Jul</v>
      </c>
      <c r="N38" t="str">
        <f t="shared" si="2"/>
        <v>Wed</v>
      </c>
      <c r="O38" s="1">
        <f t="shared" si="3"/>
        <v>3</v>
      </c>
      <c r="P38" s="1">
        <f t="shared" si="4"/>
        <v>10.5</v>
      </c>
      <c r="Q38" s="1">
        <f>ROUND(G38*H38*VLOOKUP(D38,'Cost Product'!A$1:C$21,3,FALSE),0)</f>
        <v>5</v>
      </c>
      <c r="R38" s="1">
        <f t="shared" si="5"/>
        <v>5.5</v>
      </c>
    </row>
    <row r="39" spans="1:18" x14ac:dyDescent="0.25">
      <c r="A39" s="1" t="s">
        <v>111</v>
      </c>
      <c r="B39" t="s">
        <v>112</v>
      </c>
      <c r="C39" t="s">
        <v>17</v>
      </c>
      <c r="D39" t="s">
        <v>18</v>
      </c>
      <c r="E39" s="4">
        <v>45309</v>
      </c>
      <c r="F39" s="4">
        <v>45316</v>
      </c>
      <c r="G39" s="1">
        <v>5</v>
      </c>
      <c r="H39" s="1">
        <v>5.5</v>
      </c>
      <c r="I39" t="s">
        <v>13</v>
      </c>
      <c r="J39" t="s">
        <v>2141</v>
      </c>
      <c r="K39" t="s">
        <v>19</v>
      </c>
      <c r="L39" s="1" t="str">
        <f t="shared" si="0"/>
        <v>2024</v>
      </c>
      <c r="M39" t="str">
        <f t="shared" si="1"/>
        <v>Jan</v>
      </c>
      <c r="N39" t="str">
        <f t="shared" si="2"/>
        <v>Thu</v>
      </c>
      <c r="O39" s="1">
        <f t="shared" si="3"/>
        <v>7</v>
      </c>
      <c r="P39" s="1">
        <f t="shared" si="4"/>
        <v>27.5</v>
      </c>
      <c r="Q39" s="1">
        <f>ROUND(G39*H39*VLOOKUP(D39,'Cost Product'!A$1:C$21,3,FALSE),0)</f>
        <v>17</v>
      </c>
      <c r="R39" s="1">
        <f t="shared" si="5"/>
        <v>10.5</v>
      </c>
    </row>
    <row r="40" spans="1:18" x14ac:dyDescent="0.25">
      <c r="A40" s="1" t="s">
        <v>113</v>
      </c>
      <c r="B40" t="s">
        <v>114</v>
      </c>
      <c r="C40" t="s">
        <v>65</v>
      </c>
      <c r="D40" t="s">
        <v>115</v>
      </c>
      <c r="E40" s="4">
        <v>45442</v>
      </c>
      <c r="F40" s="4">
        <v>45444</v>
      </c>
      <c r="G40" s="1">
        <v>5</v>
      </c>
      <c r="H40" s="1">
        <v>3</v>
      </c>
      <c r="I40" t="s">
        <v>13</v>
      </c>
      <c r="J40" t="s">
        <v>2141</v>
      </c>
      <c r="K40" t="s">
        <v>14</v>
      </c>
      <c r="L40" s="1" t="str">
        <f t="shared" si="0"/>
        <v>2024</v>
      </c>
      <c r="M40" t="str">
        <f t="shared" si="1"/>
        <v>May</v>
      </c>
      <c r="N40" t="str">
        <f t="shared" si="2"/>
        <v>Thu</v>
      </c>
      <c r="O40" s="1">
        <f t="shared" si="3"/>
        <v>2</v>
      </c>
      <c r="P40" s="1">
        <f t="shared" si="4"/>
        <v>15</v>
      </c>
      <c r="Q40" s="1">
        <f>ROUND(G40*H40*VLOOKUP(D40,'Cost Product'!A$1:C$21,3,FALSE),0)</f>
        <v>7</v>
      </c>
      <c r="R40" s="1">
        <f t="shared" si="5"/>
        <v>8</v>
      </c>
    </row>
    <row r="41" spans="1:18" x14ac:dyDescent="0.25">
      <c r="A41" s="1" t="s">
        <v>116</v>
      </c>
      <c r="B41" t="s">
        <v>117</v>
      </c>
      <c r="C41" t="s">
        <v>11</v>
      </c>
      <c r="D41" t="s">
        <v>31</v>
      </c>
      <c r="E41" s="4">
        <v>45316</v>
      </c>
      <c r="F41" s="4">
        <v>45319</v>
      </c>
      <c r="G41" s="1">
        <v>1</v>
      </c>
      <c r="H41" s="1">
        <v>5.5</v>
      </c>
      <c r="I41" t="s">
        <v>13</v>
      </c>
      <c r="J41" t="s">
        <v>2146</v>
      </c>
      <c r="K41" t="s">
        <v>28</v>
      </c>
      <c r="L41" s="1" t="str">
        <f t="shared" si="0"/>
        <v>2024</v>
      </c>
      <c r="M41" t="str">
        <f t="shared" si="1"/>
        <v>Jan</v>
      </c>
      <c r="N41" t="str">
        <f t="shared" si="2"/>
        <v>Thu</v>
      </c>
      <c r="O41" s="1">
        <f t="shared" si="3"/>
        <v>3</v>
      </c>
      <c r="P41" s="1">
        <f t="shared" si="4"/>
        <v>5.5</v>
      </c>
      <c r="Q41" s="1">
        <f>ROUND(G41*H41*VLOOKUP(D41,'Cost Product'!A$1:C$21,3,FALSE),0)</f>
        <v>3</v>
      </c>
      <c r="R41" s="1">
        <f t="shared" si="5"/>
        <v>2.5</v>
      </c>
    </row>
    <row r="42" spans="1:18" x14ac:dyDescent="0.25">
      <c r="A42" s="1" t="s">
        <v>118</v>
      </c>
      <c r="B42" t="s">
        <v>119</v>
      </c>
      <c r="C42" t="s">
        <v>65</v>
      </c>
      <c r="D42" t="s">
        <v>120</v>
      </c>
      <c r="E42" s="4">
        <v>45264</v>
      </c>
      <c r="F42" s="4">
        <v>45270</v>
      </c>
      <c r="G42" s="1">
        <v>4</v>
      </c>
      <c r="H42" s="1">
        <v>3.75</v>
      </c>
      <c r="I42" t="s">
        <v>13</v>
      </c>
      <c r="J42" t="s">
        <v>2143</v>
      </c>
      <c r="K42" t="s">
        <v>14</v>
      </c>
      <c r="L42" s="1" t="str">
        <f t="shared" si="0"/>
        <v>2023</v>
      </c>
      <c r="M42" t="str">
        <f t="shared" si="1"/>
        <v>Dec</v>
      </c>
      <c r="N42" t="str">
        <f t="shared" si="2"/>
        <v>Mon</v>
      </c>
      <c r="O42" s="1">
        <f t="shared" si="3"/>
        <v>6</v>
      </c>
      <c r="P42" s="1">
        <f t="shared" si="4"/>
        <v>15</v>
      </c>
      <c r="Q42" s="1">
        <f>ROUND(G42*H42*VLOOKUP(D42,'Cost Product'!A$1:C$21,3,FALSE),0)</f>
        <v>8</v>
      </c>
      <c r="R42" s="1">
        <f t="shared" si="5"/>
        <v>7</v>
      </c>
    </row>
    <row r="43" spans="1:18" x14ac:dyDescent="0.25">
      <c r="A43" s="1" t="s">
        <v>121</v>
      </c>
      <c r="B43" t="s">
        <v>122</v>
      </c>
      <c r="C43" t="s">
        <v>22</v>
      </c>
      <c r="D43" t="s">
        <v>23</v>
      </c>
      <c r="E43" s="4">
        <v>45511</v>
      </c>
      <c r="F43" s="4">
        <v>45524</v>
      </c>
      <c r="G43" s="1">
        <v>2</v>
      </c>
      <c r="H43" s="1">
        <v>10</v>
      </c>
      <c r="I43" t="s">
        <v>13</v>
      </c>
      <c r="J43" t="s">
        <v>2141</v>
      </c>
      <c r="K43" t="s">
        <v>14</v>
      </c>
      <c r="L43" s="1" t="str">
        <f t="shared" si="0"/>
        <v>2024</v>
      </c>
      <c r="M43" t="str">
        <f t="shared" si="1"/>
        <v>Aug</v>
      </c>
      <c r="N43" t="str">
        <f t="shared" si="2"/>
        <v>Wed</v>
      </c>
      <c r="O43" s="1">
        <f t="shared" si="3"/>
        <v>13</v>
      </c>
      <c r="P43" s="1">
        <f t="shared" si="4"/>
        <v>20</v>
      </c>
      <c r="Q43" s="1">
        <f>ROUND(G43*H43*VLOOKUP(D43,'Cost Product'!A$1:C$21,3,FALSE),0)</f>
        <v>13</v>
      </c>
      <c r="R43" s="1">
        <f t="shared" si="5"/>
        <v>7</v>
      </c>
    </row>
    <row r="44" spans="1:18" x14ac:dyDescent="0.25">
      <c r="A44" s="1" t="s">
        <v>123</v>
      </c>
      <c r="B44" t="s">
        <v>124</v>
      </c>
      <c r="C44" t="s">
        <v>22</v>
      </c>
      <c r="D44" t="s">
        <v>56</v>
      </c>
      <c r="E44" s="4">
        <v>45236</v>
      </c>
      <c r="F44" s="4">
        <v>45242</v>
      </c>
      <c r="G44" s="1">
        <v>2</v>
      </c>
      <c r="H44" s="1">
        <v>8.75</v>
      </c>
      <c r="I44" t="s">
        <v>13</v>
      </c>
      <c r="J44" t="s">
        <v>2141</v>
      </c>
      <c r="K44" t="s">
        <v>28</v>
      </c>
      <c r="L44" s="1" t="str">
        <f t="shared" si="0"/>
        <v>2023</v>
      </c>
      <c r="M44" t="str">
        <f t="shared" si="1"/>
        <v>Nov</v>
      </c>
      <c r="N44" t="str">
        <f t="shared" si="2"/>
        <v>Mon</v>
      </c>
      <c r="O44" s="1">
        <f t="shared" si="3"/>
        <v>6</v>
      </c>
      <c r="P44" s="1">
        <f t="shared" si="4"/>
        <v>17.5</v>
      </c>
      <c r="Q44" s="1">
        <f>ROUND(G44*H44*VLOOKUP(D44,'Cost Product'!A$1:C$21,3,FALSE),0)</f>
        <v>10</v>
      </c>
      <c r="R44" s="1">
        <f t="shared" si="5"/>
        <v>7.5</v>
      </c>
    </row>
    <row r="45" spans="1:18" x14ac:dyDescent="0.25">
      <c r="A45" s="1" t="s">
        <v>125</v>
      </c>
      <c r="B45" t="s">
        <v>126</v>
      </c>
      <c r="C45" t="s">
        <v>22</v>
      </c>
      <c r="D45" t="s">
        <v>23</v>
      </c>
      <c r="E45" s="4">
        <v>45491</v>
      </c>
      <c r="F45" s="4">
        <v>45495</v>
      </c>
      <c r="G45" s="1">
        <v>2</v>
      </c>
      <c r="H45" s="1">
        <v>10</v>
      </c>
      <c r="I45" t="s">
        <v>13</v>
      </c>
      <c r="J45" t="s">
        <v>2141</v>
      </c>
      <c r="K45" t="s">
        <v>14</v>
      </c>
      <c r="L45" s="1" t="str">
        <f t="shared" si="0"/>
        <v>2024</v>
      </c>
      <c r="M45" t="str">
        <f t="shared" si="1"/>
        <v>Jul</v>
      </c>
      <c r="N45" t="str">
        <f t="shared" si="2"/>
        <v>Thu</v>
      </c>
      <c r="O45" s="1">
        <f t="shared" si="3"/>
        <v>4</v>
      </c>
      <c r="P45" s="1">
        <f t="shared" si="4"/>
        <v>20</v>
      </c>
      <c r="Q45" s="1">
        <f>ROUND(G45*H45*VLOOKUP(D45,'Cost Product'!A$1:C$21,3,FALSE),0)</f>
        <v>13</v>
      </c>
      <c r="R45" s="1">
        <f t="shared" si="5"/>
        <v>7</v>
      </c>
    </row>
    <row r="46" spans="1:18" x14ac:dyDescent="0.25">
      <c r="A46" s="1" t="s">
        <v>127</v>
      </c>
      <c r="B46" t="s">
        <v>128</v>
      </c>
      <c r="C46" t="s">
        <v>17</v>
      </c>
      <c r="D46" t="s">
        <v>79</v>
      </c>
      <c r="E46" s="4">
        <v>45379</v>
      </c>
      <c r="F46" s="4">
        <v>45382</v>
      </c>
      <c r="G46" s="1">
        <v>1</v>
      </c>
      <c r="H46" s="1">
        <v>5</v>
      </c>
      <c r="I46" t="s">
        <v>13</v>
      </c>
      <c r="J46" t="s">
        <v>2142</v>
      </c>
      <c r="K46" t="s">
        <v>28</v>
      </c>
      <c r="L46" s="1" t="str">
        <f t="shared" si="0"/>
        <v>2024</v>
      </c>
      <c r="M46" t="str">
        <f t="shared" si="1"/>
        <v>Mar</v>
      </c>
      <c r="N46" t="str">
        <f t="shared" si="2"/>
        <v>Thu</v>
      </c>
      <c r="O46" s="1">
        <f t="shared" si="3"/>
        <v>3</v>
      </c>
      <c r="P46" s="1">
        <f t="shared" si="4"/>
        <v>5</v>
      </c>
      <c r="Q46" s="1">
        <f>ROUND(G46*H46*VLOOKUP(D46,'Cost Product'!A$1:C$21,3,FALSE),0)</f>
        <v>3</v>
      </c>
      <c r="R46" s="1">
        <f t="shared" si="5"/>
        <v>2</v>
      </c>
    </row>
    <row r="47" spans="1:18" x14ac:dyDescent="0.25">
      <c r="A47" s="1" t="s">
        <v>129</v>
      </c>
      <c r="B47" t="s">
        <v>130</v>
      </c>
      <c r="C47" t="s">
        <v>22</v>
      </c>
      <c r="D47" t="s">
        <v>56</v>
      </c>
      <c r="E47" s="4">
        <v>45336</v>
      </c>
      <c r="F47" s="4">
        <v>45339</v>
      </c>
      <c r="G47" s="1">
        <v>2</v>
      </c>
      <c r="H47" s="1">
        <v>8.75</v>
      </c>
      <c r="I47" t="s">
        <v>13</v>
      </c>
      <c r="J47" t="s">
        <v>2145</v>
      </c>
      <c r="K47" t="s">
        <v>19</v>
      </c>
      <c r="L47" s="1" t="str">
        <f t="shared" si="0"/>
        <v>2024</v>
      </c>
      <c r="M47" t="str">
        <f t="shared" si="1"/>
        <v>Feb</v>
      </c>
      <c r="N47" t="str">
        <f t="shared" si="2"/>
        <v>Wed</v>
      </c>
      <c r="O47" s="1">
        <f t="shared" si="3"/>
        <v>3</v>
      </c>
      <c r="P47" s="1">
        <f t="shared" si="4"/>
        <v>17.5</v>
      </c>
      <c r="Q47" s="1">
        <f>ROUND(G47*H47*VLOOKUP(D47,'Cost Product'!A$1:C$21,3,FALSE),0)</f>
        <v>10</v>
      </c>
      <c r="R47" s="1">
        <f t="shared" si="5"/>
        <v>7.5</v>
      </c>
    </row>
    <row r="48" spans="1:18" x14ac:dyDescent="0.25">
      <c r="A48" s="1" t="s">
        <v>131</v>
      </c>
      <c r="B48" t="s">
        <v>132</v>
      </c>
      <c r="C48" t="s">
        <v>11</v>
      </c>
      <c r="D48" t="s">
        <v>31</v>
      </c>
      <c r="E48" s="4">
        <v>45437</v>
      </c>
      <c r="F48" s="4">
        <v>45439</v>
      </c>
      <c r="G48" s="1">
        <v>3</v>
      </c>
      <c r="H48" s="1">
        <v>5.5</v>
      </c>
      <c r="I48" t="s">
        <v>13</v>
      </c>
      <c r="J48" t="s">
        <v>2143</v>
      </c>
      <c r="K48" t="s">
        <v>19</v>
      </c>
      <c r="L48" s="1" t="str">
        <f t="shared" si="0"/>
        <v>2024</v>
      </c>
      <c r="M48" t="str">
        <f t="shared" si="1"/>
        <v>May</v>
      </c>
      <c r="N48" t="str">
        <f t="shared" si="2"/>
        <v>Sat</v>
      </c>
      <c r="O48" s="1">
        <f t="shared" si="3"/>
        <v>2</v>
      </c>
      <c r="P48" s="1">
        <f t="shared" si="4"/>
        <v>16.5</v>
      </c>
      <c r="Q48" s="1">
        <f>ROUND(G48*H48*VLOOKUP(D48,'Cost Product'!A$1:C$21,3,FALSE),0)</f>
        <v>9</v>
      </c>
      <c r="R48" s="1">
        <f t="shared" si="5"/>
        <v>7.5</v>
      </c>
    </row>
    <row r="49" spans="1:18" x14ac:dyDescent="0.25">
      <c r="A49" s="1" t="s">
        <v>133</v>
      </c>
      <c r="B49" t="s">
        <v>134</v>
      </c>
      <c r="C49" t="s">
        <v>11</v>
      </c>
      <c r="D49" t="s">
        <v>12</v>
      </c>
      <c r="E49" s="4">
        <v>45241</v>
      </c>
      <c r="F49" s="4">
        <v>45244</v>
      </c>
      <c r="G49" s="1">
        <v>2</v>
      </c>
      <c r="H49" s="1">
        <v>6.5</v>
      </c>
      <c r="I49" t="s">
        <v>13</v>
      </c>
      <c r="J49" t="s">
        <v>2141</v>
      </c>
      <c r="K49" t="s">
        <v>19</v>
      </c>
      <c r="L49" s="1" t="str">
        <f t="shared" si="0"/>
        <v>2023</v>
      </c>
      <c r="M49" t="str">
        <f t="shared" si="1"/>
        <v>Nov</v>
      </c>
      <c r="N49" t="str">
        <f t="shared" si="2"/>
        <v>Sat</v>
      </c>
      <c r="O49" s="1">
        <f t="shared" si="3"/>
        <v>3</v>
      </c>
      <c r="P49" s="1">
        <f t="shared" si="4"/>
        <v>13</v>
      </c>
      <c r="Q49" s="1">
        <f>ROUND(G49*H49*VLOOKUP(D49,'Cost Product'!A$1:C$21,3,FALSE),0)</f>
        <v>8</v>
      </c>
      <c r="R49" s="1">
        <f t="shared" si="5"/>
        <v>5</v>
      </c>
    </row>
    <row r="50" spans="1:18" x14ac:dyDescent="0.25">
      <c r="A50" s="1" t="s">
        <v>135</v>
      </c>
      <c r="B50" t="s">
        <v>136</v>
      </c>
      <c r="C50" t="s">
        <v>22</v>
      </c>
      <c r="D50" t="s">
        <v>59</v>
      </c>
      <c r="E50" s="4">
        <v>45245</v>
      </c>
      <c r="F50" s="4">
        <v>45249</v>
      </c>
      <c r="G50" s="1">
        <v>5</v>
      </c>
      <c r="H50" s="1">
        <v>8.5</v>
      </c>
      <c r="I50" t="s">
        <v>13</v>
      </c>
      <c r="J50" t="s">
        <v>2146</v>
      </c>
      <c r="K50" t="s">
        <v>28</v>
      </c>
      <c r="L50" s="1" t="str">
        <f t="shared" si="0"/>
        <v>2023</v>
      </c>
      <c r="M50" t="str">
        <f t="shared" si="1"/>
        <v>Nov</v>
      </c>
      <c r="N50" t="str">
        <f t="shared" si="2"/>
        <v>Wed</v>
      </c>
      <c r="O50" s="1">
        <f t="shared" si="3"/>
        <v>4</v>
      </c>
      <c r="P50" s="1">
        <f t="shared" si="4"/>
        <v>42.5</v>
      </c>
      <c r="Q50" s="1">
        <f>ROUND(G50*H50*VLOOKUP(D50,'Cost Product'!A$1:C$21,3,FALSE),0)</f>
        <v>26</v>
      </c>
      <c r="R50" s="1">
        <f t="shared" si="5"/>
        <v>16.5</v>
      </c>
    </row>
    <row r="51" spans="1:18" x14ac:dyDescent="0.25">
      <c r="A51" s="1" t="s">
        <v>137</v>
      </c>
      <c r="B51" t="s">
        <v>138</v>
      </c>
      <c r="C51" t="s">
        <v>26</v>
      </c>
      <c r="D51" t="s">
        <v>45</v>
      </c>
      <c r="E51" s="4">
        <v>45546</v>
      </c>
      <c r="F51" s="4">
        <v>45552</v>
      </c>
      <c r="G51" s="1">
        <v>1</v>
      </c>
      <c r="H51" s="1">
        <v>4.5</v>
      </c>
      <c r="I51" t="s">
        <v>13</v>
      </c>
      <c r="J51" t="s">
        <v>2142</v>
      </c>
      <c r="K51" t="s">
        <v>28</v>
      </c>
      <c r="L51" s="1" t="str">
        <f t="shared" si="0"/>
        <v>2024</v>
      </c>
      <c r="M51" t="str">
        <f t="shared" si="1"/>
        <v>Sep</v>
      </c>
      <c r="N51" t="str">
        <f t="shared" si="2"/>
        <v>Wed</v>
      </c>
      <c r="O51" s="1">
        <f t="shared" si="3"/>
        <v>6</v>
      </c>
      <c r="P51" s="1">
        <f t="shared" si="4"/>
        <v>4.5</v>
      </c>
      <c r="Q51" s="1">
        <f>ROUND(G51*H51*VLOOKUP(D51,'Cost Product'!A$1:C$21,3,FALSE),0)</f>
        <v>2</v>
      </c>
      <c r="R51" s="1">
        <f t="shared" si="5"/>
        <v>2.5</v>
      </c>
    </row>
    <row r="52" spans="1:18" x14ac:dyDescent="0.25">
      <c r="A52" s="1" t="s">
        <v>139</v>
      </c>
      <c r="B52" t="s">
        <v>140</v>
      </c>
      <c r="C52" t="s">
        <v>26</v>
      </c>
      <c r="D52" t="s">
        <v>82</v>
      </c>
      <c r="E52" s="4">
        <v>45112</v>
      </c>
      <c r="F52" s="4">
        <v>45114</v>
      </c>
      <c r="G52" s="1">
        <v>2</v>
      </c>
      <c r="H52" s="1">
        <v>4.25</v>
      </c>
      <c r="I52" t="s">
        <v>13</v>
      </c>
      <c r="J52" t="s">
        <v>2141</v>
      </c>
      <c r="K52" t="s">
        <v>28</v>
      </c>
      <c r="L52" s="1" t="str">
        <f t="shared" si="0"/>
        <v>2023</v>
      </c>
      <c r="M52" t="str">
        <f t="shared" si="1"/>
        <v>Jul</v>
      </c>
      <c r="N52" t="str">
        <f t="shared" si="2"/>
        <v>Wed</v>
      </c>
      <c r="O52" s="1">
        <f t="shared" si="3"/>
        <v>2</v>
      </c>
      <c r="P52" s="1">
        <f t="shared" si="4"/>
        <v>8.5</v>
      </c>
      <c r="Q52" s="1">
        <f>ROUND(G52*H52*VLOOKUP(D52,'Cost Product'!A$1:C$21,3,FALSE),0)</f>
        <v>4</v>
      </c>
      <c r="R52" s="1">
        <f t="shared" si="5"/>
        <v>4.5</v>
      </c>
    </row>
    <row r="53" spans="1:18" x14ac:dyDescent="0.25">
      <c r="A53" s="1" t="s">
        <v>141</v>
      </c>
      <c r="B53" t="s">
        <v>142</v>
      </c>
      <c r="C53" t="s">
        <v>11</v>
      </c>
      <c r="D53" t="s">
        <v>31</v>
      </c>
      <c r="E53" s="4">
        <v>45537</v>
      </c>
      <c r="F53" s="4">
        <v>45539</v>
      </c>
      <c r="G53" s="1">
        <v>1</v>
      </c>
      <c r="H53" s="1">
        <v>5.5</v>
      </c>
      <c r="I53" t="s">
        <v>13</v>
      </c>
      <c r="J53" t="s">
        <v>2146</v>
      </c>
      <c r="K53" t="s">
        <v>14</v>
      </c>
      <c r="L53" s="1" t="str">
        <f t="shared" si="0"/>
        <v>2024</v>
      </c>
      <c r="M53" t="str">
        <f t="shared" si="1"/>
        <v>Sep</v>
      </c>
      <c r="N53" t="str">
        <f t="shared" si="2"/>
        <v>Mon</v>
      </c>
      <c r="O53" s="1">
        <f t="shared" si="3"/>
        <v>2</v>
      </c>
      <c r="P53" s="1">
        <f t="shared" si="4"/>
        <v>5.5</v>
      </c>
      <c r="Q53" s="1">
        <f>ROUND(G53*H53*VLOOKUP(D53,'Cost Product'!A$1:C$21,3,FALSE),0)</f>
        <v>3</v>
      </c>
      <c r="R53" s="1">
        <f t="shared" si="5"/>
        <v>2.5</v>
      </c>
    </row>
    <row r="54" spans="1:18" x14ac:dyDescent="0.25">
      <c r="A54" s="1" t="s">
        <v>143</v>
      </c>
      <c r="B54" t="s">
        <v>144</v>
      </c>
      <c r="C54" t="s">
        <v>65</v>
      </c>
      <c r="D54" t="s">
        <v>66</v>
      </c>
      <c r="E54" s="4">
        <v>45470</v>
      </c>
      <c r="F54" s="4">
        <v>45472</v>
      </c>
      <c r="G54" s="1">
        <v>2</v>
      </c>
      <c r="H54" s="1">
        <v>3.5</v>
      </c>
      <c r="I54" t="s">
        <v>13</v>
      </c>
      <c r="J54" t="s">
        <v>2142</v>
      </c>
      <c r="K54" t="s">
        <v>14</v>
      </c>
      <c r="L54" s="1" t="str">
        <f t="shared" si="0"/>
        <v>2024</v>
      </c>
      <c r="M54" t="str">
        <f t="shared" si="1"/>
        <v>Jun</v>
      </c>
      <c r="N54" t="str">
        <f t="shared" si="2"/>
        <v>Thu</v>
      </c>
      <c r="O54" s="1">
        <f t="shared" si="3"/>
        <v>2</v>
      </c>
      <c r="P54" s="1">
        <f t="shared" si="4"/>
        <v>7</v>
      </c>
      <c r="Q54" s="1">
        <f>ROUND(G54*H54*VLOOKUP(D54,'Cost Product'!A$1:C$21,3,FALSE),0)</f>
        <v>3</v>
      </c>
      <c r="R54" s="1">
        <f t="shared" si="5"/>
        <v>4</v>
      </c>
    </row>
    <row r="55" spans="1:18" x14ac:dyDescent="0.25">
      <c r="A55" s="1" t="s">
        <v>145</v>
      </c>
      <c r="B55" t="s">
        <v>146</v>
      </c>
      <c r="C55" t="s">
        <v>22</v>
      </c>
      <c r="D55" t="s">
        <v>62</v>
      </c>
      <c r="E55" s="4">
        <v>45371</v>
      </c>
      <c r="F55" s="4">
        <v>45372</v>
      </c>
      <c r="G55" s="1">
        <v>3</v>
      </c>
      <c r="H55" s="1">
        <v>8</v>
      </c>
      <c r="I55" t="s">
        <v>13</v>
      </c>
      <c r="J55" t="s">
        <v>2142</v>
      </c>
      <c r="K55" t="s">
        <v>14</v>
      </c>
      <c r="L55" s="1" t="str">
        <f t="shared" si="0"/>
        <v>2024</v>
      </c>
      <c r="M55" t="str">
        <f t="shared" si="1"/>
        <v>Mar</v>
      </c>
      <c r="N55" t="str">
        <f t="shared" si="2"/>
        <v>Wed</v>
      </c>
      <c r="O55" s="1">
        <f t="shared" si="3"/>
        <v>1</v>
      </c>
      <c r="P55" s="1">
        <f t="shared" si="4"/>
        <v>24</v>
      </c>
      <c r="Q55" s="1">
        <f>ROUND(G55*H55*VLOOKUP(D55,'Cost Product'!A$1:C$21,3,FALSE),0)</f>
        <v>14</v>
      </c>
      <c r="R55" s="1">
        <f t="shared" si="5"/>
        <v>10</v>
      </c>
    </row>
    <row r="56" spans="1:18" x14ac:dyDescent="0.25">
      <c r="A56" s="1" t="s">
        <v>147</v>
      </c>
      <c r="B56" t="s">
        <v>148</v>
      </c>
      <c r="C56" t="s">
        <v>26</v>
      </c>
      <c r="D56" t="s">
        <v>82</v>
      </c>
      <c r="E56" s="4">
        <v>45323</v>
      </c>
      <c r="F56" s="4">
        <v>45326</v>
      </c>
      <c r="G56" s="1">
        <v>1</v>
      </c>
      <c r="H56" s="1">
        <v>4.25</v>
      </c>
      <c r="I56" t="s">
        <v>40</v>
      </c>
      <c r="J56" t="s">
        <v>2141</v>
      </c>
      <c r="K56" t="s">
        <v>28</v>
      </c>
      <c r="L56" s="1" t="str">
        <f t="shared" si="0"/>
        <v>2024</v>
      </c>
      <c r="M56" t="str">
        <f t="shared" si="1"/>
        <v>Feb</v>
      </c>
      <c r="N56" t="str">
        <f t="shared" si="2"/>
        <v>Thu</v>
      </c>
      <c r="O56" s="1">
        <f t="shared" si="3"/>
        <v>3</v>
      </c>
      <c r="P56" s="1">
        <f t="shared" si="4"/>
        <v>4.25</v>
      </c>
      <c r="Q56" s="1">
        <f>ROUND(G56*H56*VLOOKUP(D56,'Cost Product'!A$1:C$21,3,FALSE),0)</f>
        <v>2</v>
      </c>
      <c r="R56" s="1">
        <f t="shared" si="5"/>
        <v>2.25</v>
      </c>
    </row>
    <row r="57" spans="1:18" x14ac:dyDescent="0.25">
      <c r="A57" s="1" t="s">
        <v>149</v>
      </c>
      <c r="B57" t="s">
        <v>150</v>
      </c>
      <c r="C57" t="s">
        <v>11</v>
      </c>
      <c r="D57" t="s">
        <v>12</v>
      </c>
      <c r="E57" s="4">
        <v>45160</v>
      </c>
      <c r="F57" s="4">
        <v>45170</v>
      </c>
      <c r="G57" s="1">
        <v>2</v>
      </c>
      <c r="H57" s="1">
        <v>6.5</v>
      </c>
      <c r="I57" t="s">
        <v>13</v>
      </c>
      <c r="J57" t="s">
        <v>2142</v>
      </c>
      <c r="K57" t="s">
        <v>28</v>
      </c>
      <c r="L57" s="1" t="str">
        <f t="shared" si="0"/>
        <v>2023</v>
      </c>
      <c r="M57" t="str">
        <f t="shared" si="1"/>
        <v>Aug</v>
      </c>
      <c r="N57" t="str">
        <f t="shared" si="2"/>
        <v>Tue</v>
      </c>
      <c r="O57" s="1">
        <f t="shared" si="3"/>
        <v>10</v>
      </c>
      <c r="P57" s="1">
        <f t="shared" si="4"/>
        <v>13</v>
      </c>
      <c r="Q57" s="1">
        <f>ROUND(G57*H57*VLOOKUP(D57,'Cost Product'!A$1:C$21,3,FALSE),0)</f>
        <v>8</v>
      </c>
      <c r="R57" s="1">
        <f t="shared" si="5"/>
        <v>5</v>
      </c>
    </row>
    <row r="58" spans="1:18" x14ac:dyDescent="0.25">
      <c r="A58" s="1" t="s">
        <v>151</v>
      </c>
      <c r="B58" t="s">
        <v>152</v>
      </c>
      <c r="C58" t="s">
        <v>65</v>
      </c>
      <c r="D58" t="s">
        <v>115</v>
      </c>
      <c r="E58" s="4">
        <v>45232</v>
      </c>
      <c r="F58" s="4">
        <v>45234</v>
      </c>
      <c r="G58" s="1">
        <v>5</v>
      </c>
      <c r="H58" s="1">
        <v>3</v>
      </c>
      <c r="I58" t="s">
        <v>13</v>
      </c>
      <c r="J58" t="s">
        <v>2142</v>
      </c>
      <c r="K58" t="s">
        <v>19</v>
      </c>
      <c r="L58" s="1" t="str">
        <f t="shared" si="0"/>
        <v>2023</v>
      </c>
      <c r="M58" t="str">
        <f t="shared" si="1"/>
        <v>Nov</v>
      </c>
      <c r="N58" t="str">
        <f t="shared" si="2"/>
        <v>Thu</v>
      </c>
      <c r="O58" s="1">
        <f t="shared" si="3"/>
        <v>2</v>
      </c>
      <c r="P58" s="1">
        <f t="shared" si="4"/>
        <v>15</v>
      </c>
      <c r="Q58" s="1">
        <f>ROUND(G58*H58*VLOOKUP(D58,'Cost Product'!A$1:C$21,3,FALSE),0)</f>
        <v>7</v>
      </c>
      <c r="R58" s="1">
        <f t="shared" si="5"/>
        <v>8</v>
      </c>
    </row>
    <row r="59" spans="1:18" x14ac:dyDescent="0.25">
      <c r="A59" s="1" t="s">
        <v>153</v>
      </c>
      <c r="B59" t="s">
        <v>154</v>
      </c>
      <c r="C59" t="s">
        <v>11</v>
      </c>
      <c r="D59" t="s">
        <v>31</v>
      </c>
      <c r="E59" s="4">
        <v>45269</v>
      </c>
      <c r="F59" s="4">
        <v>45270</v>
      </c>
      <c r="G59" s="1">
        <v>2</v>
      </c>
      <c r="H59" s="1">
        <v>5.5</v>
      </c>
      <c r="I59" t="s">
        <v>13</v>
      </c>
      <c r="J59" t="s">
        <v>2141</v>
      </c>
      <c r="K59" t="s">
        <v>19</v>
      </c>
      <c r="L59" s="1" t="str">
        <f t="shared" si="0"/>
        <v>2023</v>
      </c>
      <c r="M59" t="str">
        <f t="shared" si="1"/>
        <v>Dec</v>
      </c>
      <c r="N59" t="str">
        <f t="shared" si="2"/>
        <v>Sat</v>
      </c>
      <c r="O59" s="1">
        <f t="shared" si="3"/>
        <v>1</v>
      </c>
      <c r="P59" s="1">
        <f t="shared" si="4"/>
        <v>11</v>
      </c>
      <c r="Q59" s="1">
        <f>ROUND(G59*H59*VLOOKUP(D59,'Cost Product'!A$1:C$21,3,FALSE),0)</f>
        <v>6</v>
      </c>
      <c r="R59" s="1">
        <f t="shared" si="5"/>
        <v>5</v>
      </c>
    </row>
    <row r="60" spans="1:18" x14ac:dyDescent="0.25">
      <c r="A60" s="1" t="s">
        <v>155</v>
      </c>
      <c r="B60" t="s">
        <v>156</v>
      </c>
      <c r="C60" t="s">
        <v>65</v>
      </c>
      <c r="D60" t="s">
        <v>115</v>
      </c>
      <c r="E60" s="4">
        <v>45208</v>
      </c>
      <c r="F60" s="4">
        <v>45209</v>
      </c>
      <c r="G60" s="1">
        <v>1</v>
      </c>
      <c r="H60" s="1">
        <v>3</v>
      </c>
      <c r="I60" t="s">
        <v>13</v>
      </c>
      <c r="J60" t="s">
        <v>2146</v>
      </c>
      <c r="K60" t="s">
        <v>19</v>
      </c>
      <c r="L60" s="1" t="str">
        <f t="shared" si="0"/>
        <v>2023</v>
      </c>
      <c r="M60" t="str">
        <f t="shared" si="1"/>
        <v>Oct</v>
      </c>
      <c r="N60" t="str">
        <f t="shared" si="2"/>
        <v>Mon</v>
      </c>
      <c r="O60" s="1">
        <f t="shared" si="3"/>
        <v>1</v>
      </c>
      <c r="P60" s="1">
        <f t="shared" si="4"/>
        <v>3</v>
      </c>
      <c r="Q60" s="1">
        <f>ROUND(G60*H60*VLOOKUP(D60,'Cost Product'!A$1:C$21,3,FALSE),0)</f>
        <v>1</v>
      </c>
      <c r="R60" s="1">
        <f t="shared" si="5"/>
        <v>2</v>
      </c>
    </row>
    <row r="61" spans="1:18" x14ac:dyDescent="0.25">
      <c r="A61" s="1" t="s">
        <v>157</v>
      </c>
      <c r="B61" t="s">
        <v>158</v>
      </c>
      <c r="C61" t="s">
        <v>22</v>
      </c>
      <c r="D61" t="s">
        <v>59</v>
      </c>
      <c r="E61" s="4">
        <v>45358</v>
      </c>
      <c r="F61" s="4">
        <v>45361</v>
      </c>
      <c r="G61" s="1">
        <v>5</v>
      </c>
      <c r="H61" s="1">
        <v>8.5</v>
      </c>
      <c r="I61" t="s">
        <v>13</v>
      </c>
      <c r="J61" t="s">
        <v>2143</v>
      </c>
      <c r="K61" t="s">
        <v>14</v>
      </c>
      <c r="L61" s="1" t="str">
        <f t="shared" si="0"/>
        <v>2024</v>
      </c>
      <c r="M61" t="str">
        <f t="shared" si="1"/>
        <v>Mar</v>
      </c>
      <c r="N61" t="str">
        <f t="shared" si="2"/>
        <v>Thu</v>
      </c>
      <c r="O61" s="1">
        <f t="shared" si="3"/>
        <v>3</v>
      </c>
      <c r="P61" s="1">
        <f t="shared" si="4"/>
        <v>42.5</v>
      </c>
      <c r="Q61" s="1">
        <f>ROUND(G61*H61*VLOOKUP(D61,'Cost Product'!A$1:C$21,3,FALSE),0)</f>
        <v>26</v>
      </c>
      <c r="R61" s="1">
        <f t="shared" si="5"/>
        <v>16.5</v>
      </c>
    </row>
    <row r="62" spans="1:18" x14ac:dyDescent="0.25">
      <c r="A62" s="1" t="s">
        <v>159</v>
      </c>
      <c r="B62" t="s">
        <v>160</v>
      </c>
      <c r="C62" t="s">
        <v>11</v>
      </c>
      <c r="D62" t="s">
        <v>39</v>
      </c>
      <c r="E62" s="4">
        <v>45308</v>
      </c>
      <c r="F62" s="4">
        <v>45309</v>
      </c>
      <c r="G62" s="1">
        <v>1</v>
      </c>
      <c r="H62" s="1">
        <v>5.75</v>
      </c>
      <c r="I62" t="s">
        <v>13</v>
      </c>
      <c r="J62" t="s">
        <v>2142</v>
      </c>
      <c r="K62" t="s">
        <v>28</v>
      </c>
      <c r="L62" s="1" t="str">
        <f t="shared" si="0"/>
        <v>2024</v>
      </c>
      <c r="M62" t="str">
        <f t="shared" si="1"/>
        <v>Jan</v>
      </c>
      <c r="N62" t="str">
        <f t="shared" si="2"/>
        <v>Wed</v>
      </c>
      <c r="O62" s="1">
        <f t="shared" si="3"/>
        <v>1</v>
      </c>
      <c r="P62" s="1">
        <f t="shared" si="4"/>
        <v>5.75</v>
      </c>
      <c r="Q62" s="1">
        <f>ROUND(G62*H62*VLOOKUP(D62,'Cost Product'!A$1:C$21,3,FALSE),0)</f>
        <v>3</v>
      </c>
      <c r="R62" s="1">
        <f t="shared" si="5"/>
        <v>2.75</v>
      </c>
    </row>
    <row r="63" spans="1:18" x14ac:dyDescent="0.25">
      <c r="A63" s="1" t="s">
        <v>161</v>
      </c>
      <c r="B63" t="s">
        <v>162</v>
      </c>
      <c r="C63" t="s">
        <v>17</v>
      </c>
      <c r="D63" t="s">
        <v>50</v>
      </c>
      <c r="E63" s="4">
        <v>45136</v>
      </c>
      <c r="F63" s="4">
        <v>45139</v>
      </c>
      <c r="G63" s="1">
        <v>4</v>
      </c>
      <c r="H63" s="1">
        <v>5.25</v>
      </c>
      <c r="I63" t="s">
        <v>13</v>
      </c>
      <c r="J63" t="s">
        <v>2142</v>
      </c>
      <c r="K63" t="s">
        <v>28</v>
      </c>
      <c r="L63" s="1" t="str">
        <f t="shared" si="0"/>
        <v>2023</v>
      </c>
      <c r="M63" t="str">
        <f t="shared" si="1"/>
        <v>Jul</v>
      </c>
      <c r="N63" t="str">
        <f t="shared" si="2"/>
        <v>Sat</v>
      </c>
      <c r="O63" s="1">
        <f t="shared" si="3"/>
        <v>3</v>
      </c>
      <c r="P63" s="1">
        <f t="shared" si="4"/>
        <v>21</v>
      </c>
      <c r="Q63" s="1">
        <f>ROUND(G63*H63*VLOOKUP(D63,'Cost Product'!A$1:C$21,3,FALSE),0)</f>
        <v>12</v>
      </c>
      <c r="R63" s="1">
        <f t="shared" si="5"/>
        <v>9</v>
      </c>
    </row>
    <row r="64" spans="1:18" x14ac:dyDescent="0.25">
      <c r="A64" s="1" t="s">
        <v>163</v>
      </c>
      <c r="B64" t="s">
        <v>164</v>
      </c>
      <c r="C64" t="s">
        <v>65</v>
      </c>
      <c r="D64" t="s">
        <v>99</v>
      </c>
      <c r="E64" s="4">
        <v>45135</v>
      </c>
      <c r="F64" s="4">
        <v>45137</v>
      </c>
      <c r="G64" s="1">
        <v>1</v>
      </c>
      <c r="H64" s="1">
        <v>4</v>
      </c>
      <c r="I64" t="s">
        <v>13</v>
      </c>
      <c r="J64" t="s">
        <v>2142</v>
      </c>
      <c r="K64" t="s">
        <v>14</v>
      </c>
      <c r="L64" s="1" t="str">
        <f t="shared" si="0"/>
        <v>2023</v>
      </c>
      <c r="M64" t="str">
        <f t="shared" si="1"/>
        <v>Jul</v>
      </c>
      <c r="N64" t="str">
        <f t="shared" si="2"/>
        <v>Fri</v>
      </c>
      <c r="O64" s="1">
        <f t="shared" si="3"/>
        <v>2</v>
      </c>
      <c r="P64" s="1">
        <f t="shared" si="4"/>
        <v>4</v>
      </c>
      <c r="Q64" s="1">
        <f>ROUND(G64*H64*VLOOKUP(D64,'Cost Product'!A$1:C$21,3,FALSE),0)</f>
        <v>2</v>
      </c>
      <c r="R64" s="1">
        <f t="shared" si="5"/>
        <v>2</v>
      </c>
    </row>
    <row r="65" spans="1:18" x14ac:dyDescent="0.25">
      <c r="A65" s="1" t="s">
        <v>165</v>
      </c>
      <c r="B65" t="s">
        <v>166</v>
      </c>
      <c r="C65" t="s">
        <v>22</v>
      </c>
      <c r="D65" t="s">
        <v>56</v>
      </c>
      <c r="E65" s="4">
        <v>45199</v>
      </c>
      <c r="F65" s="4">
        <v>45203</v>
      </c>
      <c r="G65" s="1">
        <v>4</v>
      </c>
      <c r="H65" s="1">
        <v>8.75</v>
      </c>
      <c r="I65" t="s">
        <v>13</v>
      </c>
      <c r="J65" t="s">
        <v>2141</v>
      </c>
      <c r="K65" t="s">
        <v>19</v>
      </c>
      <c r="L65" s="1" t="str">
        <f t="shared" si="0"/>
        <v>2023</v>
      </c>
      <c r="M65" t="str">
        <f t="shared" si="1"/>
        <v>Sep</v>
      </c>
      <c r="N65" t="str">
        <f t="shared" si="2"/>
        <v>Sat</v>
      </c>
      <c r="O65" s="1">
        <f t="shared" si="3"/>
        <v>4</v>
      </c>
      <c r="P65" s="1">
        <f t="shared" si="4"/>
        <v>35</v>
      </c>
      <c r="Q65" s="1">
        <f>ROUND(G65*H65*VLOOKUP(D65,'Cost Product'!A$1:C$21,3,FALSE),0)</f>
        <v>20</v>
      </c>
      <c r="R65" s="1">
        <f t="shared" si="5"/>
        <v>15</v>
      </c>
    </row>
    <row r="66" spans="1:18" x14ac:dyDescent="0.25">
      <c r="A66" s="1" t="s">
        <v>167</v>
      </c>
      <c r="B66" t="s">
        <v>168</v>
      </c>
      <c r="C66" t="s">
        <v>65</v>
      </c>
      <c r="D66" t="s">
        <v>66</v>
      </c>
      <c r="E66" s="4">
        <v>45235</v>
      </c>
      <c r="F66" s="4">
        <v>45239</v>
      </c>
      <c r="G66" s="1">
        <v>5</v>
      </c>
      <c r="H66" s="1">
        <v>3.5</v>
      </c>
      <c r="I66" t="s">
        <v>13</v>
      </c>
      <c r="J66" t="s">
        <v>2141</v>
      </c>
      <c r="K66" t="s">
        <v>28</v>
      </c>
      <c r="L66" s="1" t="str">
        <f t="shared" si="0"/>
        <v>2023</v>
      </c>
      <c r="M66" t="str">
        <f t="shared" si="1"/>
        <v>Nov</v>
      </c>
      <c r="N66" t="str">
        <f t="shared" si="2"/>
        <v>Sun</v>
      </c>
      <c r="O66" s="1">
        <f t="shared" si="3"/>
        <v>4</v>
      </c>
      <c r="P66" s="1">
        <f t="shared" si="4"/>
        <v>17.5</v>
      </c>
      <c r="Q66" s="1">
        <f>ROUND(G66*H66*VLOOKUP(D66,'Cost Product'!A$1:C$21,3,FALSE),0)</f>
        <v>8</v>
      </c>
      <c r="R66" s="1">
        <f t="shared" si="5"/>
        <v>9.5</v>
      </c>
    </row>
    <row r="67" spans="1:18" x14ac:dyDescent="0.25">
      <c r="A67" s="1" t="s">
        <v>169</v>
      </c>
      <c r="B67" t="s">
        <v>170</v>
      </c>
      <c r="C67" t="s">
        <v>17</v>
      </c>
      <c r="D67" t="s">
        <v>79</v>
      </c>
      <c r="E67" s="4">
        <v>45555</v>
      </c>
      <c r="F67" s="4">
        <v>45559</v>
      </c>
      <c r="G67" s="1">
        <v>5</v>
      </c>
      <c r="H67" s="1">
        <v>5</v>
      </c>
      <c r="I67" t="s">
        <v>13</v>
      </c>
      <c r="J67" t="s">
        <v>2143</v>
      </c>
      <c r="K67" t="s">
        <v>28</v>
      </c>
      <c r="L67" s="1" t="str">
        <f t="shared" ref="L67:L130" si="6">TEXT(E67, "YYYY")</f>
        <v>2024</v>
      </c>
      <c r="M67" t="str">
        <f t="shared" ref="M67:M130" si="7">TEXT(E67, "MMM")</f>
        <v>Sep</v>
      </c>
      <c r="N67" t="str">
        <f t="shared" ref="N67:N130" si="8">TEXT(E67, "DDD")</f>
        <v>Fri</v>
      </c>
      <c r="O67" s="1">
        <f t="shared" ref="O67:O130" si="9">DATEDIF(E67, F67, "D")</f>
        <v>4</v>
      </c>
      <c r="P67" s="1">
        <f t="shared" ref="P67:P130" si="10">G67*H67</f>
        <v>25</v>
      </c>
      <c r="Q67" s="1">
        <f>ROUND(G67*H67*VLOOKUP(D67,'Cost Product'!A$1:C$21,3,FALSE),0)</f>
        <v>14</v>
      </c>
      <c r="R67" s="1">
        <f t="shared" ref="R67:R130" si="11">P67-Q67</f>
        <v>11</v>
      </c>
    </row>
    <row r="68" spans="1:18" x14ac:dyDescent="0.25">
      <c r="A68" s="1" t="s">
        <v>171</v>
      </c>
      <c r="B68" t="s">
        <v>172</v>
      </c>
      <c r="C68" t="s">
        <v>11</v>
      </c>
      <c r="D68" t="s">
        <v>12</v>
      </c>
      <c r="E68" s="4">
        <v>45482</v>
      </c>
      <c r="F68" s="4">
        <v>45486</v>
      </c>
      <c r="G68" s="1">
        <v>1</v>
      </c>
      <c r="H68" s="1">
        <v>6.5</v>
      </c>
      <c r="I68" t="s">
        <v>13</v>
      </c>
      <c r="J68" t="s">
        <v>2142</v>
      </c>
      <c r="K68" t="s">
        <v>14</v>
      </c>
      <c r="L68" s="1" t="str">
        <f t="shared" si="6"/>
        <v>2024</v>
      </c>
      <c r="M68" t="str">
        <f t="shared" si="7"/>
        <v>Jul</v>
      </c>
      <c r="N68" t="str">
        <f t="shared" si="8"/>
        <v>Tue</v>
      </c>
      <c r="O68" s="1">
        <f t="shared" si="9"/>
        <v>4</v>
      </c>
      <c r="P68" s="1">
        <f t="shared" si="10"/>
        <v>6.5</v>
      </c>
      <c r="Q68" s="1">
        <f>ROUND(G68*H68*VLOOKUP(D68,'Cost Product'!A$1:C$21,3,FALSE),0)</f>
        <v>4</v>
      </c>
      <c r="R68" s="1">
        <f t="shared" si="11"/>
        <v>2.5</v>
      </c>
    </row>
    <row r="69" spans="1:18" x14ac:dyDescent="0.25">
      <c r="A69" s="1" t="s">
        <v>173</v>
      </c>
      <c r="B69" t="s">
        <v>174</v>
      </c>
      <c r="C69" t="s">
        <v>11</v>
      </c>
      <c r="D69" t="s">
        <v>39</v>
      </c>
      <c r="E69" s="4">
        <v>45120</v>
      </c>
      <c r="F69" s="4">
        <v>45121</v>
      </c>
      <c r="G69" s="1">
        <v>5</v>
      </c>
      <c r="H69" s="1">
        <v>5.75</v>
      </c>
      <c r="I69" t="s">
        <v>13</v>
      </c>
      <c r="J69" t="s">
        <v>2145</v>
      </c>
      <c r="K69" t="s">
        <v>19</v>
      </c>
      <c r="L69" s="1" t="str">
        <f t="shared" si="6"/>
        <v>2023</v>
      </c>
      <c r="M69" t="str">
        <f t="shared" si="7"/>
        <v>Jul</v>
      </c>
      <c r="N69" t="str">
        <f t="shared" si="8"/>
        <v>Thu</v>
      </c>
      <c r="O69" s="1">
        <f t="shared" si="9"/>
        <v>1</v>
      </c>
      <c r="P69" s="1">
        <f t="shared" si="10"/>
        <v>28.75</v>
      </c>
      <c r="Q69" s="1">
        <f>ROUND(G69*H69*VLOOKUP(D69,'Cost Product'!A$1:C$21,3,FALSE),0)</f>
        <v>14</v>
      </c>
      <c r="R69" s="1">
        <f t="shared" si="11"/>
        <v>14.75</v>
      </c>
    </row>
    <row r="70" spans="1:18" x14ac:dyDescent="0.25">
      <c r="A70" s="1" t="s">
        <v>175</v>
      </c>
      <c r="B70" t="s">
        <v>176</v>
      </c>
      <c r="C70" t="s">
        <v>65</v>
      </c>
      <c r="D70" t="s">
        <v>120</v>
      </c>
      <c r="E70" s="4">
        <v>45506</v>
      </c>
      <c r="F70" s="4">
        <v>45511</v>
      </c>
      <c r="G70" s="1">
        <v>3</v>
      </c>
      <c r="H70" s="1">
        <v>3.75</v>
      </c>
      <c r="I70" t="s">
        <v>13</v>
      </c>
      <c r="J70" t="s">
        <v>2146</v>
      </c>
      <c r="K70" t="s">
        <v>19</v>
      </c>
      <c r="L70" s="1" t="str">
        <f t="shared" si="6"/>
        <v>2024</v>
      </c>
      <c r="M70" t="str">
        <f t="shared" si="7"/>
        <v>Aug</v>
      </c>
      <c r="N70" t="str">
        <f t="shared" si="8"/>
        <v>Fri</v>
      </c>
      <c r="O70" s="1">
        <f t="shared" si="9"/>
        <v>5</v>
      </c>
      <c r="P70" s="1">
        <f t="shared" si="10"/>
        <v>11.25</v>
      </c>
      <c r="Q70" s="1">
        <f>ROUND(G70*H70*VLOOKUP(D70,'Cost Product'!A$1:C$21,3,FALSE),0)</f>
        <v>6</v>
      </c>
      <c r="R70" s="1">
        <f t="shared" si="11"/>
        <v>5.25</v>
      </c>
    </row>
    <row r="71" spans="1:18" x14ac:dyDescent="0.25">
      <c r="A71" s="1" t="s">
        <v>177</v>
      </c>
      <c r="B71" t="s">
        <v>178</v>
      </c>
      <c r="C71" t="s">
        <v>11</v>
      </c>
      <c r="D71" t="s">
        <v>36</v>
      </c>
      <c r="E71" s="4">
        <v>45490</v>
      </c>
      <c r="F71" s="4">
        <v>45500</v>
      </c>
      <c r="G71" s="1">
        <v>4</v>
      </c>
      <c r="H71" s="1">
        <v>6.25</v>
      </c>
      <c r="I71" t="s">
        <v>40</v>
      </c>
      <c r="J71" t="s">
        <v>2142</v>
      </c>
      <c r="K71" t="s">
        <v>28</v>
      </c>
      <c r="L71" s="1" t="str">
        <f t="shared" si="6"/>
        <v>2024</v>
      </c>
      <c r="M71" t="str">
        <f t="shared" si="7"/>
        <v>Jul</v>
      </c>
      <c r="N71" t="str">
        <f t="shared" si="8"/>
        <v>Wed</v>
      </c>
      <c r="O71" s="1">
        <f t="shared" si="9"/>
        <v>10</v>
      </c>
      <c r="P71" s="1">
        <f t="shared" si="10"/>
        <v>25</v>
      </c>
      <c r="Q71" s="1">
        <f>ROUND(G71*H71*VLOOKUP(D71,'Cost Product'!A$1:C$21,3,FALSE),0)</f>
        <v>14</v>
      </c>
      <c r="R71" s="1">
        <f t="shared" si="11"/>
        <v>11</v>
      </c>
    </row>
    <row r="72" spans="1:18" x14ac:dyDescent="0.25">
      <c r="A72" s="1" t="s">
        <v>179</v>
      </c>
      <c r="B72" t="s">
        <v>180</v>
      </c>
      <c r="C72" t="s">
        <v>65</v>
      </c>
      <c r="D72" t="s">
        <v>115</v>
      </c>
      <c r="E72" s="4">
        <v>45249</v>
      </c>
      <c r="F72" s="4">
        <v>45261</v>
      </c>
      <c r="G72" s="1">
        <v>3</v>
      </c>
      <c r="H72" s="1">
        <v>3</v>
      </c>
      <c r="I72" t="s">
        <v>13</v>
      </c>
      <c r="J72" t="s">
        <v>2146</v>
      </c>
      <c r="K72" t="s">
        <v>19</v>
      </c>
      <c r="L72" s="1" t="str">
        <f t="shared" si="6"/>
        <v>2023</v>
      </c>
      <c r="M72" t="str">
        <f t="shared" si="7"/>
        <v>Nov</v>
      </c>
      <c r="N72" t="str">
        <f t="shared" si="8"/>
        <v>Sun</v>
      </c>
      <c r="O72" s="1">
        <f t="shared" si="9"/>
        <v>12</v>
      </c>
      <c r="P72" s="1">
        <f t="shared" si="10"/>
        <v>9</v>
      </c>
      <c r="Q72" s="1">
        <f>ROUND(G72*H72*VLOOKUP(D72,'Cost Product'!A$1:C$21,3,FALSE),0)</f>
        <v>4</v>
      </c>
      <c r="R72" s="1">
        <f t="shared" si="11"/>
        <v>5</v>
      </c>
    </row>
    <row r="73" spans="1:18" x14ac:dyDescent="0.25">
      <c r="A73" s="1" t="s">
        <v>181</v>
      </c>
      <c r="B73" t="s">
        <v>182</v>
      </c>
      <c r="C73" t="s">
        <v>65</v>
      </c>
      <c r="D73" t="s">
        <v>115</v>
      </c>
      <c r="E73" s="4">
        <v>45464</v>
      </c>
      <c r="F73" s="4">
        <v>45466</v>
      </c>
      <c r="G73" s="1">
        <v>3</v>
      </c>
      <c r="H73" s="1">
        <v>3</v>
      </c>
      <c r="I73" t="s">
        <v>13</v>
      </c>
      <c r="J73" t="s">
        <v>2141</v>
      </c>
      <c r="K73" t="s">
        <v>28</v>
      </c>
      <c r="L73" s="1" t="str">
        <f t="shared" si="6"/>
        <v>2024</v>
      </c>
      <c r="M73" t="str">
        <f t="shared" si="7"/>
        <v>Jun</v>
      </c>
      <c r="N73" t="str">
        <f t="shared" si="8"/>
        <v>Fri</v>
      </c>
      <c r="O73" s="1">
        <f t="shared" si="9"/>
        <v>2</v>
      </c>
      <c r="P73" s="1">
        <f t="shared" si="10"/>
        <v>9</v>
      </c>
      <c r="Q73" s="1">
        <f>ROUND(G73*H73*VLOOKUP(D73,'Cost Product'!A$1:C$21,3,FALSE),0)</f>
        <v>4</v>
      </c>
      <c r="R73" s="1">
        <f t="shared" si="11"/>
        <v>5</v>
      </c>
    </row>
    <row r="74" spans="1:18" x14ac:dyDescent="0.25">
      <c r="A74" s="1" t="s">
        <v>183</v>
      </c>
      <c r="B74" t="s">
        <v>184</v>
      </c>
      <c r="C74" t="s">
        <v>65</v>
      </c>
      <c r="D74" t="s">
        <v>66</v>
      </c>
      <c r="E74" s="4">
        <v>45218</v>
      </c>
      <c r="F74" s="4">
        <v>45229</v>
      </c>
      <c r="G74" s="1">
        <v>5</v>
      </c>
      <c r="H74" s="1">
        <v>3.5</v>
      </c>
      <c r="I74" t="s">
        <v>40</v>
      </c>
      <c r="J74" t="s">
        <v>2142</v>
      </c>
      <c r="K74" t="s">
        <v>28</v>
      </c>
      <c r="L74" s="1" t="str">
        <f t="shared" si="6"/>
        <v>2023</v>
      </c>
      <c r="M74" t="str">
        <f t="shared" si="7"/>
        <v>Oct</v>
      </c>
      <c r="N74" t="str">
        <f t="shared" si="8"/>
        <v>Thu</v>
      </c>
      <c r="O74" s="1">
        <f t="shared" si="9"/>
        <v>11</v>
      </c>
      <c r="P74" s="1">
        <f t="shared" si="10"/>
        <v>17.5</v>
      </c>
      <c r="Q74" s="1">
        <f>ROUND(G74*H74*VLOOKUP(D74,'Cost Product'!A$1:C$21,3,FALSE),0)</f>
        <v>8</v>
      </c>
      <c r="R74" s="1">
        <f t="shared" si="11"/>
        <v>9.5</v>
      </c>
    </row>
    <row r="75" spans="1:18" x14ac:dyDescent="0.25">
      <c r="A75" s="1" t="s">
        <v>185</v>
      </c>
      <c r="B75" t="s">
        <v>186</v>
      </c>
      <c r="C75" t="s">
        <v>17</v>
      </c>
      <c r="D75" t="s">
        <v>18</v>
      </c>
      <c r="E75" s="4">
        <v>45375</v>
      </c>
      <c r="F75" s="4">
        <v>45378</v>
      </c>
      <c r="G75" s="1">
        <v>3</v>
      </c>
      <c r="H75" s="1">
        <v>5.5</v>
      </c>
      <c r="I75" t="s">
        <v>13</v>
      </c>
      <c r="J75" t="s">
        <v>2141</v>
      </c>
      <c r="K75" t="s">
        <v>28</v>
      </c>
      <c r="L75" s="1" t="str">
        <f t="shared" si="6"/>
        <v>2024</v>
      </c>
      <c r="M75" t="str">
        <f t="shared" si="7"/>
        <v>Mar</v>
      </c>
      <c r="N75" t="str">
        <f t="shared" si="8"/>
        <v>Sun</v>
      </c>
      <c r="O75" s="1">
        <f t="shared" si="9"/>
        <v>3</v>
      </c>
      <c r="P75" s="1">
        <f t="shared" si="10"/>
        <v>16.5</v>
      </c>
      <c r="Q75" s="1">
        <f>ROUND(G75*H75*VLOOKUP(D75,'Cost Product'!A$1:C$21,3,FALSE),0)</f>
        <v>10</v>
      </c>
      <c r="R75" s="1">
        <f t="shared" si="11"/>
        <v>6.5</v>
      </c>
    </row>
    <row r="76" spans="1:18" x14ac:dyDescent="0.25">
      <c r="A76" s="1" t="s">
        <v>187</v>
      </c>
      <c r="B76" t="s">
        <v>188</v>
      </c>
      <c r="C76" t="s">
        <v>17</v>
      </c>
      <c r="D76" t="s">
        <v>18</v>
      </c>
      <c r="E76" s="4">
        <v>45110</v>
      </c>
      <c r="F76" s="4">
        <v>45117</v>
      </c>
      <c r="G76" s="1">
        <v>3</v>
      </c>
      <c r="H76" s="1">
        <v>5.5</v>
      </c>
      <c r="I76" t="s">
        <v>13</v>
      </c>
      <c r="J76" t="s">
        <v>2141</v>
      </c>
      <c r="K76" t="s">
        <v>14</v>
      </c>
      <c r="L76" s="1" t="str">
        <f t="shared" si="6"/>
        <v>2023</v>
      </c>
      <c r="M76" t="str">
        <f t="shared" si="7"/>
        <v>Jul</v>
      </c>
      <c r="N76" t="str">
        <f t="shared" si="8"/>
        <v>Mon</v>
      </c>
      <c r="O76" s="1">
        <f t="shared" si="9"/>
        <v>7</v>
      </c>
      <c r="P76" s="1">
        <f t="shared" si="10"/>
        <v>16.5</v>
      </c>
      <c r="Q76" s="1">
        <f>ROUND(G76*H76*VLOOKUP(D76,'Cost Product'!A$1:C$21,3,FALSE),0)</f>
        <v>10</v>
      </c>
      <c r="R76" s="1">
        <f t="shared" si="11"/>
        <v>6.5</v>
      </c>
    </row>
    <row r="77" spans="1:18" x14ac:dyDescent="0.25">
      <c r="A77" s="1" t="s">
        <v>189</v>
      </c>
      <c r="B77" t="s">
        <v>190</v>
      </c>
      <c r="C77" t="s">
        <v>17</v>
      </c>
      <c r="D77" t="s">
        <v>53</v>
      </c>
      <c r="E77" s="4">
        <v>45145</v>
      </c>
      <c r="F77" s="4">
        <v>45148</v>
      </c>
      <c r="G77" s="1">
        <v>5</v>
      </c>
      <c r="H77" s="1">
        <v>4.75</v>
      </c>
      <c r="I77" t="s">
        <v>40</v>
      </c>
      <c r="J77" t="s">
        <v>2145</v>
      </c>
      <c r="K77" t="s">
        <v>14</v>
      </c>
      <c r="L77" s="1" t="str">
        <f t="shared" si="6"/>
        <v>2023</v>
      </c>
      <c r="M77" t="str">
        <f t="shared" si="7"/>
        <v>Aug</v>
      </c>
      <c r="N77" t="str">
        <f t="shared" si="8"/>
        <v>Mon</v>
      </c>
      <c r="O77" s="1">
        <f t="shared" si="9"/>
        <v>3</v>
      </c>
      <c r="P77" s="1">
        <f t="shared" si="10"/>
        <v>23.75</v>
      </c>
      <c r="Q77" s="1">
        <f>ROUND(G77*H77*VLOOKUP(D77,'Cost Product'!A$1:C$21,3,FALSE),0)</f>
        <v>13</v>
      </c>
      <c r="R77" s="1">
        <f t="shared" si="11"/>
        <v>10.75</v>
      </c>
    </row>
    <row r="78" spans="1:18" x14ac:dyDescent="0.25">
      <c r="A78" s="1" t="s">
        <v>191</v>
      </c>
      <c r="B78" t="s">
        <v>192</v>
      </c>
      <c r="C78" t="s">
        <v>65</v>
      </c>
      <c r="D78" t="s">
        <v>99</v>
      </c>
      <c r="E78" s="4">
        <v>45157</v>
      </c>
      <c r="F78" s="4">
        <v>45160</v>
      </c>
      <c r="G78" s="1">
        <v>3</v>
      </c>
      <c r="H78" s="1">
        <v>4</v>
      </c>
      <c r="I78" t="s">
        <v>13</v>
      </c>
      <c r="J78" t="s">
        <v>2146</v>
      </c>
      <c r="K78" t="s">
        <v>28</v>
      </c>
      <c r="L78" s="1" t="str">
        <f t="shared" si="6"/>
        <v>2023</v>
      </c>
      <c r="M78" t="str">
        <f t="shared" si="7"/>
        <v>Aug</v>
      </c>
      <c r="N78" t="str">
        <f t="shared" si="8"/>
        <v>Sat</v>
      </c>
      <c r="O78" s="1">
        <f t="shared" si="9"/>
        <v>3</v>
      </c>
      <c r="P78" s="1">
        <f t="shared" si="10"/>
        <v>12</v>
      </c>
      <c r="Q78" s="1">
        <f>ROUND(G78*H78*VLOOKUP(D78,'Cost Product'!A$1:C$21,3,FALSE),0)</f>
        <v>6</v>
      </c>
      <c r="R78" s="1">
        <f t="shared" si="11"/>
        <v>6</v>
      </c>
    </row>
    <row r="79" spans="1:18" x14ac:dyDescent="0.25">
      <c r="A79" s="1" t="s">
        <v>193</v>
      </c>
      <c r="B79" t="s">
        <v>194</v>
      </c>
      <c r="C79" t="s">
        <v>26</v>
      </c>
      <c r="D79" t="s">
        <v>104</v>
      </c>
      <c r="E79" s="4">
        <v>45447</v>
      </c>
      <c r="F79" s="4">
        <v>45449</v>
      </c>
      <c r="G79" s="1">
        <v>3</v>
      </c>
      <c r="H79" s="1">
        <v>4.5</v>
      </c>
      <c r="I79" t="s">
        <v>13</v>
      </c>
      <c r="J79" t="s">
        <v>2141</v>
      </c>
      <c r="K79" t="s">
        <v>14</v>
      </c>
      <c r="L79" s="1" t="str">
        <f t="shared" si="6"/>
        <v>2024</v>
      </c>
      <c r="M79" t="str">
        <f t="shared" si="7"/>
        <v>Jun</v>
      </c>
      <c r="N79" t="str">
        <f t="shared" si="8"/>
        <v>Tue</v>
      </c>
      <c r="O79" s="1">
        <f t="shared" si="9"/>
        <v>2</v>
      </c>
      <c r="P79" s="1">
        <f t="shared" si="10"/>
        <v>13.5</v>
      </c>
      <c r="Q79" s="1">
        <f>ROUND(G79*H79*VLOOKUP(D79,'Cost Product'!A$1:C$21,3,FALSE),0)</f>
        <v>7</v>
      </c>
      <c r="R79" s="1">
        <f t="shared" si="11"/>
        <v>6.5</v>
      </c>
    </row>
    <row r="80" spans="1:18" x14ac:dyDescent="0.25">
      <c r="A80" s="1" t="s">
        <v>195</v>
      </c>
      <c r="B80" t="s">
        <v>196</v>
      </c>
      <c r="C80" t="s">
        <v>65</v>
      </c>
      <c r="D80" t="s">
        <v>66</v>
      </c>
      <c r="E80" s="4">
        <v>45291</v>
      </c>
      <c r="F80" s="4">
        <v>45298</v>
      </c>
      <c r="G80" s="1">
        <v>2</v>
      </c>
      <c r="H80" s="1">
        <v>3.5</v>
      </c>
      <c r="I80" t="s">
        <v>13</v>
      </c>
      <c r="J80" t="s">
        <v>2144</v>
      </c>
      <c r="K80" t="s">
        <v>28</v>
      </c>
      <c r="L80" s="1" t="str">
        <f t="shared" si="6"/>
        <v>2023</v>
      </c>
      <c r="M80" t="str">
        <f t="shared" si="7"/>
        <v>Dec</v>
      </c>
      <c r="N80" t="str">
        <f t="shared" si="8"/>
        <v>Sun</v>
      </c>
      <c r="O80" s="1">
        <f t="shared" si="9"/>
        <v>7</v>
      </c>
      <c r="P80" s="1">
        <f t="shared" si="10"/>
        <v>7</v>
      </c>
      <c r="Q80" s="1">
        <f>ROUND(G80*H80*VLOOKUP(D80,'Cost Product'!A$1:C$21,3,FALSE),0)</f>
        <v>3</v>
      </c>
      <c r="R80" s="1">
        <f t="shared" si="11"/>
        <v>4</v>
      </c>
    </row>
    <row r="81" spans="1:18" x14ac:dyDescent="0.25">
      <c r="A81" s="1" t="s">
        <v>197</v>
      </c>
      <c r="B81" t="s">
        <v>198</v>
      </c>
      <c r="C81" t="s">
        <v>26</v>
      </c>
      <c r="D81" t="s">
        <v>104</v>
      </c>
      <c r="E81" s="4">
        <v>45124</v>
      </c>
      <c r="F81" s="4">
        <v>45127</v>
      </c>
      <c r="G81" s="1">
        <v>5</v>
      </c>
      <c r="H81" s="1">
        <v>4.5</v>
      </c>
      <c r="I81" t="s">
        <v>40</v>
      </c>
      <c r="J81" t="s">
        <v>2141</v>
      </c>
      <c r="K81" t="s">
        <v>19</v>
      </c>
      <c r="L81" s="1" t="str">
        <f t="shared" si="6"/>
        <v>2023</v>
      </c>
      <c r="M81" t="str">
        <f t="shared" si="7"/>
        <v>Jul</v>
      </c>
      <c r="N81" t="str">
        <f t="shared" si="8"/>
        <v>Mon</v>
      </c>
      <c r="O81" s="1">
        <f t="shared" si="9"/>
        <v>3</v>
      </c>
      <c r="P81" s="1">
        <f t="shared" si="10"/>
        <v>22.5</v>
      </c>
      <c r="Q81" s="1">
        <f>ROUND(G81*H81*VLOOKUP(D81,'Cost Product'!A$1:C$21,3,FALSE),0)</f>
        <v>11</v>
      </c>
      <c r="R81" s="1">
        <f t="shared" si="11"/>
        <v>11.5</v>
      </c>
    </row>
    <row r="82" spans="1:18" x14ac:dyDescent="0.25">
      <c r="A82" s="1" t="s">
        <v>199</v>
      </c>
      <c r="B82" t="s">
        <v>200</v>
      </c>
      <c r="C82" t="s">
        <v>17</v>
      </c>
      <c r="D82" t="s">
        <v>18</v>
      </c>
      <c r="E82" s="4">
        <v>45442</v>
      </c>
      <c r="F82" s="4">
        <v>45445</v>
      </c>
      <c r="G82" s="1">
        <v>2</v>
      </c>
      <c r="H82" s="1">
        <v>5.5</v>
      </c>
      <c r="I82" t="s">
        <v>13</v>
      </c>
      <c r="J82" t="s">
        <v>2141</v>
      </c>
      <c r="K82" t="s">
        <v>19</v>
      </c>
      <c r="L82" s="1" t="str">
        <f t="shared" si="6"/>
        <v>2024</v>
      </c>
      <c r="M82" t="str">
        <f t="shared" si="7"/>
        <v>May</v>
      </c>
      <c r="N82" t="str">
        <f t="shared" si="8"/>
        <v>Thu</v>
      </c>
      <c r="O82" s="1">
        <f t="shared" si="9"/>
        <v>3</v>
      </c>
      <c r="P82" s="1">
        <f t="shared" si="10"/>
        <v>11</v>
      </c>
      <c r="Q82" s="1">
        <f>ROUND(G82*H82*VLOOKUP(D82,'Cost Product'!A$1:C$21,3,FALSE),0)</f>
        <v>7</v>
      </c>
      <c r="R82" s="1">
        <f t="shared" si="11"/>
        <v>4</v>
      </c>
    </row>
    <row r="83" spans="1:18" x14ac:dyDescent="0.25">
      <c r="A83" s="1" t="s">
        <v>201</v>
      </c>
      <c r="B83" t="s">
        <v>202</v>
      </c>
      <c r="C83" t="s">
        <v>22</v>
      </c>
      <c r="D83" t="s">
        <v>59</v>
      </c>
      <c r="E83" s="4">
        <v>45126</v>
      </c>
      <c r="F83" s="4">
        <v>45138</v>
      </c>
      <c r="G83" s="1">
        <v>4</v>
      </c>
      <c r="H83" s="1">
        <v>8.5</v>
      </c>
      <c r="I83" t="s">
        <v>13</v>
      </c>
      <c r="J83" t="s">
        <v>2141</v>
      </c>
      <c r="K83" t="s">
        <v>19</v>
      </c>
      <c r="L83" s="1" t="str">
        <f t="shared" si="6"/>
        <v>2023</v>
      </c>
      <c r="M83" t="str">
        <f t="shared" si="7"/>
        <v>Jul</v>
      </c>
      <c r="N83" t="str">
        <f t="shared" si="8"/>
        <v>Wed</v>
      </c>
      <c r="O83" s="1">
        <f t="shared" si="9"/>
        <v>12</v>
      </c>
      <c r="P83" s="1">
        <f t="shared" si="10"/>
        <v>34</v>
      </c>
      <c r="Q83" s="1">
        <f>ROUND(G83*H83*VLOOKUP(D83,'Cost Product'!A$1:C$21,3,FALSE),0)</f>
        <v>20</v>
      </c>
      <c r="R83" s="1">
        <f t="shared" si="11"/>
        <v>14</v>
      </c>
    </row>
    <row r="84" spans="1:18" x14ac:dyDescent="0.25">
      <c r="A84" s="1" t="s">
        <v>203</v>
      </c>
      <c r="B84" t="s">
        <v>204</v>
      </c>
      <c r="C84" t="s">
        <v>65</v>
      </c>
      <c r="D84" t="s">
        <v>115</v>
      </c>
      <c r="E84" s="4">
        <v>45217</v>
      </c>
      <c r="F84" s="4">
        <v>45220</v>
      </c>
      <c r="G84" s="1">
        <v>5</v>
      </c>
      <c r="H84" s="1">
        <v>3</v>
      </c>
      <c r="I84" t="s">
        <v>13</v>
      </c>
      <c r="J84" t="s">
        <v>2141</v>
      </c>
      <c r="K84" t="s">
        <v>19</v>
      </c>
      <c r="L84" s="1" t="str">
        <f t="shared" si="6"/>
        <v>2023</v>
      </c>
      <c r="M84" t="str">
        <f t="shared" si="7"/>
        <v>Oct</v>
      </c>
      <c r="N84" t="str">
        <f t="shared" si="8"/>
        <v>Wed</v>
      </c>
      <c r="O84" s="1">
        <f t="shared" si="9"/>
        <v>3</v>
      </c>
      <c r="P84" s="1">
        <f t="shared" si="10"/>
        <v>15</v>
      </c>
      <c r="Q84" s="1">
        <f>ROUND(G84*H84*VLOOKUP(D84,'Cost Product'!A$1:C$21,3,FALSE),0)</f>
        <v>7</v>
      </c>
      <c r="R84" s="1">
        <f t="shared" si="11"/>
        <v>8</v>
      </c>
    </row>
    <row r="85" spans="1:18" x14ac:dyDescent="0.25">
      <c r="A85" s="1" t="s">
        <v>205</v>
      </c>
      <c r="B85" t="s">
        <v>206</v>
      </c>
      <c r="C85" t="s">
        <v>26</v>
      </c>
      <c r="D85" t="s">
        <v>104</v>
      </c>
      <c r="E85" s="4">
        <v>45395</v>
      </c>
      <c r="F85" s="4">
        <v>45402</v>
      </c>
      <c r="G85" s="1">
        <v>5</v>
      </c>
      <c r="H85" s="1">
        <v>4.5</v>
      </c>
      <c r="I85" t="s">
        <v>13</v>
      </c>
      <c r="J85" t="s">
        <v>2141</v>
      </c>
      <c r="K85" t="s">
        <v>28</v>
      </c>
      <c r="L85" s="1" t="str">
        <f t="shared" si="6"/>
        <v>2024</v>
      </c>
      <c r="M85" t="str">
        <f t="shared" si="7"/>
        <v>Apr</v>
      </c>
      <c r="N85" t="str">
        <f t="shared" si="8"/>
        <v>Sat</v>
      </c>
      <c r="O85" s="1">
        <f t="shared" si="9"/>
        <v>7</v>
      </c>
      <c r="P85" s="1">
        <f t="shared" si="10"/>
        <v>22.5</v>
      </c>
      <c r="Q85" s="1">
        <f>ROUND(G85*H85*VLOOKUP(D85,'Cost Product'!A$1:C$21,3,FALSE),0)</f>
        <v>11</v>
      </c>
      <c r="R85" s="1">
        <f t="shared" si="11"/>
        <v>11.5</v>
      </c>
    </row>
    <row r="86" spans="1:18" x14ac:dyDescent="0.25">
      <c r="A86" s="1" t="s">
        <v>207</v>
      </c>
      <c r="B86" t="s">
        <v>208</v>
      </c>
      <c r="C86" t="s">
        <v>11</v>
      </c>
      <c r="D86" t="s">
        <v>12</v>
      </c>
      <c r="E86" s="4">
        <v>45550</v>
      </c>
      <c r="F86" s="4">
        <v>45551</v>
      </c>
      <c r="G86" s="1">
        <v>5</v>
      </c>
      <c r="H86" s="1">
        <v>6.5</v>
      </c>
      <c r="I86" t="s">
        <v>13</v>
      </c>
      <c r="J86" t="s">
        <v>2144</v>
      </c>
      <c r="K86" t="s">
        <v>14</v>
      </c>
      <c r="L86" s="1" t="str">
        <f t="shared" si="6"/>
        <v>2024</v>
      </c>
      <c r="M86" t="str">
        <f t="shared" si="7"/>
        <v>Sep</v>
      </c>
      <c r="N86" t="str">
        <f t="shared" si="8"/>
        <v>Sun</v>
      </c>
      <c r="O86" s="1">
        <f t="shared" si="9"/>
        <v>1</v>
      </c>
      <c r="P86" s="1">
        <f t="shared" si="10"/>
        <v>32.5</v>
      </c>
      <c r="Q86" s="1">
        <f>ROUND(G86*H86*VLOOKUP(D86,'Cost Product'!A$1:C$21,3,FALSE),0)</f>
        <v>19</v>
      </c>
      <c r="R86" s="1">
        <f t="shared" si="11"/>
        <v>13.5</v>
      </c>
    </row>
    <row r="87" spans="1:18" x14ac:dyDescent="0.25">
      <c r="A87" s="1" t="s">
        <v>209</v>
      </c>
      <c r="B87" t="s">
        <v>210</v>
      </c>
      <c r="C87" t="s">
        <v>65</v>
      </c>
      <c r="D87" t="s">
        <v>115</v>
      </c>
      <c r="E87" s="4">
        <v>45462</v>
      </c>
      <c r="F87" s="4">
        <v>45463</v>
      </c>
      <c r="G87" s="1">
        <v>1</v>
      </c>
      <c r="H87" s="1">
        <v>3</v>
      </c>
      <c r="I87" t="s">
        <v>13</v>
      </c>
      <c r="J87" t="s">
        <v>2141</v>
      </c>
      <c r="K87" t="s">
        <v>28</v>
      </c>
      <c r="L87" s="1" t="str">
        <f t="shared" si="6"/>
        <v>2024</v>
      </c>
      <c r="M87" t="str">
        <f t="shared" si="7"/>
        <v>Jun</v>
      </c>
      <c r="N87" t="str">
        <f t="shared" si="8"/>
        <v>Wed</v>
      </c>
      <c r="O87" s="1">
        <f t="shared" si="9"/>
        <v>1</v>
      </c>
      <c r="P87" s="1">
        <f t="shared" si="10"/>
        <v>3</v>
      </c>
      <c r="Q87" s="1">
        <f>ROUND(G87*H87*VLOOKUP(D87,'Cost Product'!A$1:C$21,3,FALSE),0)</f>
        <v>1</v>
      </c>
      <c r="R87" s="1">
        <f t="shared" si="11"/>
        <v>2</v>
      </c>
    </row>
    <row r="88" spans="1:18" x14ac:dyDescent="0.25">
      <c r="A88" s="1" t="s">
        <v>211</v>
      </c>
      <c r="B88" t="s">
        <v>212</v>
      </c>
      <c r="C88" t="s">
        <v>17</v>
      </c>
      <c r="D88" t="s">
        <v>18</v>
      </c>
      <c r="E88" s="4">
        <v>45305</v>
      </c>
      <c r="F88" s="4">
        <v>45308</v>
      </c>
      <c r="G88" s="1">
        <v>5</v>
      </c>
      <c r="H88" s="1">
        <v>5.5</v>
      </c>
      <c r="I88" t="s">
        <v>13</v>
      </c>
      <c r="J88" t="s">
        <v>2141</v>
      </c>
      <c r="K88" t="s">
        <v>14</v>
      </c>
      <c r="L88" s="1" t="str">
        <f t="shared" si="6"/>
        <v>2024</v>
      </c>
      <c r="M88" t="str">
        <f t="shared" si="7"/>
        <v>Jan</v>
      </c>
      <c r="N88" t="str">
        <f t="shared" si="8"/>
        <v>Sun</v>
      </c>
      <c r="O88" s="1">
        <f t="shared" si="9"/>
        <v>3</v>
      </c>
      <c r="P88" s="1">
        <f t="shared" si="10"/>
        <v>27.5</v>
      </c>
      <c r="Q88" s="1">
        <f>ROUND(G88*H88*VLOOKUP(D88,'Cost Product'!A$1:C$21,3,FALSE),0)</f>
        <v>17</v>
      </c>
      <c r="R88" s="1">
        <f t="shared" si="11"/>
        <v>10.5</v>
      </c>
    </row>
    <row r="89" spans="1:18" x14ac:dyDescent="0.25">
      <c r="A89" s="1" t="s">
        <v>213</v>
      </c>
      <c r="B89" t="s">
        <v>214</v>
      </c>
      <c r="C89" t="s">
        <v>11</v>
      </c>
      <c r="D89" t="s">
        <v>31</v>
      </c>
      <c r="E89" s="4">
        <v>45473</v>
      </c>
      <c r="F89" s="4">
        <v>45474</v>
      </c>
      <c r="G89" s="1">
        <v>3</v>
      </c>
      <c r="H89" s="1">
        <v>5.5</v>
      </c>
      <c r="I89" t="s">
        <v>13</v>
      </c>
      <c r="J89" t="s">
        <v>2146</v>
      </c>
      <c r="K89" t="s">
        <v>14</v>
      </c>
      <c r="L89" s="1" t="str">
        <f t="shared" si="6"/>
        <v>2024</v>
      </c>
      <c r="M89" t="str">
        <f t="shared" si="7"/>
        <v>Jun</v>
      </c>
      <c r="N89" t="str">
        <f t="shared" si="8"/>
        <v>Sun</v>
      </c>
      <c r="O89" s="1">
        <f t="shared" si="9"/>
        <v>1</v>
      </c>
      <c r="P89" s="1">
        <f t="shared" si="10"/>
        <v>16.5</v>
      </c>
      <c r="Q89" s="1">
        <f>ROUND(G89*H89*VLOOKUP(D89,'Cost Product'!A$1:C$21,3,FALSE),0)</f>
        <v>9</v>
      </c>
      <c r="R89" s="1">
        <f t="shared" si="11"/>
        <v>7.5</v>
      </c>
    </row>
    <row r="90" spans="1:18" x14ac:dyDescent="0.25">
      <c r="A90" s="1" t="s">
        <v>215</v>
      </c>
      <c r="B90" t="s">
        <v>216</v>
      </c>
      <c r="C90" t="s">
        <v>11</v>
      </c>
      <c r="D90" t="s">
        <v>31</v>
      </c>
      <c r="E90" s="4">
        <v>45287</v>
      </c>
      <c r="F90" s="4">
        <v>45289</v>
      </c>
      <c r="G90" s="1">
        <v>3</v>
      </c>
      <c r="H90" s="1">
        <v>5.5</v>
      </c>
      <c r="I90" t="s">
        <v>13</v>
      </c>
      <c r="J90" t="s">
        <v>2141</v>
      </c>
      <c r="K90" t="s">
        <v>28</v>
      </c>
      <c r="L90" s="1" t="str">
        <f t="shared" si="6"/>
        <v>2023</v>
      </c>
      <c r="M90" t="str">
        <f t="shared" si="7"/>
        <v>Dec</v>
      </c>
      <c r="N90" t="str">
        <f t="shared" si="8"/>
        <v>Wed</v>
      </c>
      <c r="O90" s="1">
        <f t="shared" si="9"/>
        <v>2</v>
      </c>
      <c r="P90" s="1">
        <f t="shared" si="10"/>
        <v>16.5</v>
      </c>
      <c r="Q90" s="1">
        <f>ROUND(G90*H90*VLOOKUP(D90,'Cost Product'!A$1:C$21,3,FALSE),0)</f>
        <v>9</v>
      </c>
      <c r="R90" s="1">
        <f t="shared" si="11"/>
        <v>7.5</v>
      </c>
    </row>
    <row r="91" spans="1:18" x14ac:dyDescent="0.25">
      <c r="A91" s="1" t="s">
        <v>217</v>
      </c>
      <c r="B91" t="s">
        <v>218</v>
      </c>
      <c r="C91" t="s">
        <v>22</v>
      </c>
      <c r="D91" t="s">
        <v>62</v>
      </c>
      <c r="E91" s="4">
        <v>45137</v>
      </c>
      <c r="F91" s="4">
        <v>45139</v>
      </c>
      <c r="G91" s="1">
        <v>1</v>
      </c>
      <c r="H91" s="1">
        <v>8</v>
      </c>
      <c r="I91" t="s">
        <v>40</v>
      </c>
      <c r="J91" t="s">
        <v>2142</v>
      </c>
      <c r="K91" t="s">
        <v>14</v>
      </c>
      <c r="L91" s="1" t="str">
        <f t="shared" si="6"/>
        <v>2023</v>
      </c>
      <c r="M91" t="str">
        <f t="shared" si="7"/>
        <v>Jul</v>
      </c>
      <c r="N91" t="str">
        <f t="shared" si="8"/>
        <v>Sun</v>
      </c>
      <c r="O91" s="1">
        <f t="shared" si="9"/>
        <v>2</v>
      </c>
      <c r="P91" s="1">
        <f t="shared" si="10"/>
        <v>8</v>
      </c>
      <c r="Q91" s="1">
        <f>ROUND(G91*H91*VLOOKUP(D91,'Cost Product'!A$1:C$21,3,FALSE),0)</f>
        <v>5</v>
      </c>
      <c r="R91" s="1">
        <f t="shared" si="11"/>
        <v>3</v>
      </c>
    </row>
    <row r="92" spans="1:18" x14ac:dyDescent="0.25">
      <c r="A92" s="1" t="s">
        <v>219</v>
      </c>
      <c r="B92" t="s">
        <v>220</v>
      </c>
      <c r="C92" t="s">
        <v>26</v>
      </c>
      <c r="D92" t="s">
        <v>104</v>
      </c>
      <c r="E92" s="4">
        <v>45568</v>
      </c>
      <c r="F92" s="4">
        <v>45570</v>
      </c>
      <c r="G92" s="1">
        <v>3</v>
      </c>
      <c r="H92" s="1">
        <v>4.5</v>
      </c>
      <c r="I92" t="s">
        <v>13</v>
      </c>
      <c r="J92" t="s">
        <v>2145</v>
      </c>
      <c r="K92" t="s">
        <v>19</v>
      </c>
      <c r="L92" s="1" t="str">
        <f t="shared" si="6"/>
        <v>2024</v>
      </c>
      <c r="M92" t="str">
        <f t="shared" si="7"/>
        <v>Oct</v>
      </c>
      <c r="N92" t="str">
        <f t="shared" si="8"/>
        <v>Thu</v>
      </c>
      <c r="O92" s="1">
        <f t="shared" si="9"/>
        <v>2</v>
      </c>
      <c r="P92" s="1">
        <f t="shared" si="10"/>
        <v>13.5</v>
      </c>
      <c r="Q92" s="1">
        <f>ROUND(G92*H92*VLOOKUP(D92,'Cost Product'!A$1:C$21,3,FALSE),0)</f>
        <v>7</v>
      </c>
      <c r="R92" s="1">
        <f t="shared" si="11"/>
        <v>6.5</v>
      </c>
    </row>
    <row r="93" spans="1:18" x14ac:dyDescent="0.25">
      <c r="A93" s="1" t="s">
        <v>221</v>
      </c>
      <c r="B93" t="s">
        <v>222</v>
      </c>
      <c r="C93" t="s">
        <v>22</v>
      </c>
      <c r="D93" t="s">
        <v>62</v>
      </c>
      <c r="E93" s="4">
        <v>45435</v>
      </c>
      <c r="F93" s="4">
        <v>45438</v>
      </c>
      <c r="G93" s="1">
        <v>2</v>
      </c>
      <c r="H93" s="1">
        <v>8</v>
      </c>
      <c r="I93" t="s">
        <v>13</v>
      </c>
      <c r="J93" t="s">
        <v>2144</v>
      </c>
      <c r="K93" t="s">
        <v>28</v>
      </c>
      <c r="L93" s="1" t="str">
        <f t="shared" si="6"/>
        <v>2024</v>
      </c>
      <c r="M93" t="str">
        <f t="shared" si="7"/>
        <v>May</v>
      </c>
      <c r="N93" t="str">
        <f t="shared" si="8"/>
        <v>Thu</v>
      </c>
      <c r="O93" s="1">
        <f t="shared" si="9"/>
        <v>3</v>
      </c>
      <c r="P93" s="1">
        <f t="shared" si="10"/>
        <v>16</v>
      </c>
      <c r="Q93" s="1">
        <f>ROUND(G93*H93*VLOOKUP(D93,'Cost Product'!A$1:C$21,3,FALSE),0)</f>
        <v>9</v>
      </c>
      <c r="R93" s="1">
        <f t="shared" si="11"/>
        <v>7</v>
      </c>
    </row>
    <row r="94" spans="1:18" x14ac:dyDescent="0.25">
      <c r="A94" s="1" t="s">
        <v>223</v>
      </c>
      <c r="B94" t="s">
        <v>224</v>
      </c>
      <c r="C94" t="s">
        <v>11</v>
      </c>
      <c r="D94" t="s">
        <v>39</v>
      </c>
      <c r="E94" s="4">
        <v>45560</v>
      </c>
      <c r="F94" s="4">
        <v>45565</v>
      </c>
      <c r="G94" s="1">
        <v>2</v>
      </c>
      <c r="H94" s="1">
        <v>5.75</v>
      </c>
      <c r="I94" t="s">
        <v>13</v>
      </c>
      <c r="J94" t="s">
        <v>2142</v>
      </c>
      <c r="K94" t="s">
        <v>28</v>
      </c>
      <c r="L94" s="1" t="str">
        <f t="shared" si="6"/>
        <v>2024</v>
      </c>
      <c r="M94" t="str">
        <f t="shared" si="7"/>
        <v>Sep</v>
      </c>
      <c r="N94" t="str">
        <f t="shared" si="8"/>
        <v>Wed</v>
      </c>
      <c r="O94" s="1">
        <f t="shared" si="9"/>
        <v>5</v>
      </c>
      <c r="P94" s="1">
        <f t="shared" si="10"/>
        <v>11.5</v>
      </c>
      <c r="Q94" s="1">
        <f>ROUND(G94*H94*VLOOKUP(D94,'Cost Product'!A$1:C$21,3,FALSE),0)</f>
        <v>6</v>
      </c>
      <c r="R94" s="1">
        <f t="shared" si="11"/>
        <v>5.5</v>
      </c>
    </row>
    <row r="95" spans="1:18" x14ac:dyDescent="0.25">
      <c r="A95" s="1" t="s">
        <v>225</v>
      </c>
      <c r="B95" t="s">
        <v>226</v>
      </c>
      <c r="C95" t="s">
        <v>17</v>
      </c>
      <c r="D95" t="s">
        <v>53</v>
      </c>
      <c r="E95" s="4">
        <v>45353</v>
      </c>
      <c r="F95" s="4">
        <v>45356</v>
      </c>
      <c r="G95" s="1">
        <v>4</v>
      </c>
      <c r="H95" s="1">
        <v>4.75</v>
      </c>
      <c r="I95" t="s">
        <v>13</v>
      </c>
      <c r="J95" t="s">
        <v>2141</v>
      </c>
      <c r="K95" t="s">
        <v>19</v>
      </c>
      <c r="L95" s="1" t="str">
        <f t="shared" si="6"/>
        <v>2024</v>
      </c>
      <c r="M95" t="str">
        <f t="shared" si="7"/>
        <v>Mar</v>
      </c>
      <c r="N95" t="str">
        <f t="shared" si="8"/>
        <v>Sat</v>
      </c>
      <c r="O95" s="1">
        <f t="shared" si="9"/>
        <v>3</v>
      </c>
      <c r="P95" s="1">
        <f t="shared" si="10"/>
        <v>19</v>
      </c>
      <c r="Q95" s="1">
        <f>ROUND(G95*H95*VLOOKUP(D95,'Cost Product'!A$1:C$21,3,FALSE),0)</f>
        <v>10</v>
      </c>
      <c r="R95" s="1">
        <f t="shared" si="11"/>
        <v>9</v>
      </c>
    </row>
    <row r="96" spans="1:18" x14ac:dyDescent="0.25">
      <c r="A96" s="1" t="s">
        <v>227</v>
      </c>
      <c r="B96" t="s">
        <v>228</v>
      </c>
      <c r="C96" t="s">
        <v>65</v>
      </c>
      <c r="D96" t="s">
        <v>115</v>
      </c>
      <c r="E96" s="4">
        <v>45323</v>
      </c>
      <c r="F96" s="4">
        <v>45324</v>
      </c>
      <c r="G96" s="1">
        <v>2</v>
      </c>
      <c r="H96" s="1">
        <v>3</v>
      </c>
      <c r="I96" t="s">
        <v>13</v>
      </c>
      <c r="J96" t="s">
        <v>2145</v>
      </c>
      <c r="K96" t="s">
        <v>28</v>
      </c>
      <c r="L96" s="1" t="str">
        <f t="shared" si="6"/>
        <v>2024</v>
      </c>
      <c r="M96" t="str">
        <f t="shared" si="7"/>
        <v>Feb</v>
      </c>
      <c r="N96" t="str">
        <f t="shared" si="8"/>
        <v>Thu</v>
      </c>
      <c r="O96" s="1">
        <f t="shared" si="9"/>
        <v>1</v>
      </c>
      <c r="P96" s="1">
        <f t="shared" si="10"/>
        <v>6</v>
      </c>
      <c r="Q96" s="1">
        <f>ROUND(G96*H96*VLOOKUP(D96,'Cost Product'!A$1:C$21,3,FALSE),0)</f>
        <v>3</v>
      </c>
      <c r="R96" s="1">
        <f t="shared" si="11"/>
        <v>3</v>
      </c>
    </row>
    <row r="97" spans="1:18" x14ac:dyDescent="0.25">
      <c r="A97" s="1" t="s">
        <v>229</v>
      </c>
      <c r="B97" t="s">
        <v>230</v>
      </c>
      <c r="C97" t="s">
        <v>26</v>
      </c>
      <c r="D97" t="s">
        <v>104</v>
      </c>
      <c r="E97" s="4">
        <v>45564</v>
      </c>
      <c r="F97" s="4">
        <v>45565</v>
      </c>
      <c r="G97" s="1">
        <v>2</v>
      </c>
      <c r="H97" s="1">
        <v>4.5</v>
      </c>
      <c r="I97" t="s">
        <v>13</v>
      </c>
      <c r="J97" t="s">
        <v>2145</v>
      </c>
      <c r="K97" t="s">
        <v>19</v>
      </c>
      <c r="L97" s="1" t="str">
        <f t="shared" si="6"/>
        <v>2024</v>
      </c>
      <c r="M97" t="str">
        <f t="shared" si="7"/>
        <v>Sep</v>
      </c>
      <c r="N97" t="str">
        <f t="shared" si="8"/>
        <v>Sun</v>
      </c>
      <c r="O97" s="1">
        <f t="shared" si="9"/>
        <v>1</v>
      </c>
      <c r="P97" s="1">
        <f t="shared" si="10"/>
        <v>9</v>
      </c>
      <c r="Q97" s="1">
        <f>ROUND(G97*H97*VLOOKUP(D97,'Cost Product'!A$1:C$21,3,FALSE),0)</f>
        <v>5</v>
      </c>
      <c r="R97" s="1">
        <f t="shared" si="11"/>
        <v>4</v>
      </c>
    </row>
    <row r="98" spans="1:18" x14ac:dyDescent="0.25">
      <c r="A98" s="1" t="s">
        <v>231</v>
      </c>
      <c r="B98" t="s">
        <v>232</v>
      </c>
      <c r="C98" t="s">
        <v>11</v>
      </c>
      <c r="D98" t="s">
        <v>31</v>
      </c>
      <c r="E98" s="4">
        <v>45132</v>
      </c>
      <c r="F98" s="4">
        <v>45136</v>
      </c>
      <c r="G98" s="1">
        <v>2</v>
      </c>
      <c r="H98" s="1">
        <v>5.5</v>
      </c>
      <c r="I98" t="s">
        <v>40</v>
      </c>
      <c r="J98" t="s">
        <v>2142</v>
      </c>
      <c r="K98" t="s">
        <v>28</v>
      </c>
      <c r="L98" s="1" t="str">
        <f t="shared" si="6"/>
        <v>2023</v>
      </c>
      <c r="M98" t="str">
        <f t="shared" si="7"/>
        <v>Jul</v>
      </c>
      <c r="N98" t="str">
        <f t="shared" si="8"/>
        <v>Tue</v>
      </c>
      <c r="O98" s="1">
        <f t="shared" si="9"/>
        <v>4</v>
      </c>
      <c r="P98" s="1">
        <f t="shared" si="10"/>
        <v>11</v>
      </c>
      <c r="Q98" s="1">
        <f>ROUND(G98*H98*VLOOKUP(D98,'Cost Product'!A$1:C$21,3,FALSE),0)</f>
        <v>6</v>
      </c>
      <c r="R98" s="1">
        <f t="shared" si="11"/>
        <v>5</v>
      </c>
    </row>
    <row r="99" spans="1:18" x14ac:dyDescent="0.25">
      <c r="A99" s="1" t="s">
        <v>233</v>
      </c>
      <c r="B99" t="s">
        <v>234</v>
      </c>
      <c r="C99" t="s">
        <v>11</v>
      </c>
      <c r="D99" t="s">
        <v>31</v>
      </c>
      <c r="E99" s="4">
        <v>45315</v>
      </c>
      <c r="F99" s="4">
        <v>45321</v>
      </c>
      <c r="G99" s="1">
        <v>1</v>
      </c>
      <c r="H99" s="1">
        <v>5.5</v>
      </c>
      <c r="I99" t="s">
        <v>13</v>
      </c>
      <c r="J99" t="s">
        <v>2144</v>
      </c>
      <c r="K99" t="s">
        <v>28</v>
      </c>
      <c r="L99" s="1" t="str">
        <f t="shared" si="6"/>
        <v>2024</v>
      </c>
      <c r="M99" t="str">
        <f t="shared" si="7"/>
        <v>Jan</v>
      </c>
      <c r="N99" t="str">
        <f t="shared" si="8"/>
        <v>Wed</v>
      </c>
      <c r="O99" s="1">
        <f t="shared" si="9"/>
        <v>6</v>
      </c>
      <c r="P99" s="1">
        <f t="shared" si="10"/>
        <v>5.5</v>
      </c>
      <c r="Q99" s="1">
        <f>ROUND(G99*H99*VLOOKUP(D99,'Cost Product'!A$1:C$21,3,FALSE),0)</f>
        <v>3</v>
      </c>
      <c r="R99" s="1">
        <f t="shared" si="11"/>
        <v>2.5</v>
      </c>
    </row>
    <row r="100" spans="1:18" x14ac:dyDescent="0.25">
      <c r="A100" s="1" t="s">
        <v>235</v>
      </c>
      <c r="B100" t="s">
        <v>236</v>
      </c>
      <c r="C100" t="s">
        <v>22</v>
      </c>
      <c r="D100" t="s">
        <v>59</v>
      </c>
      <c r="E100" s="4">
        <v>45516</v>
      </c>
      <c r="F100" s="4">
        <v>45519</v>
      </c>
      <c r="G100" s="1">
        <v>2</v>
      </c>
      <c r="H100" s="1">
        <v>8.5</v>
      </c>
      <c r="I100" t="s">
        <v>13</v>
      </c>
      <c r="J100" t="s">
        <v>2141</v>
      </c>
      <c r="K100" t="s">
        <v>19</v>
      </c>
      <c r="L100" s="1" t="str">
        <f t="shared" si="6"/>
        <v>2024</v>
      </c>
      <c r="M100" t="str">
        <f t="shared" si="7"/>
        <v>Aug</v>
      </c>
      <c r="N100" t="str">
        <f t="shared" si="8"/>
        <v>Mon</v>
      </c>
      <c r="O100" s="1">
        <f t="shared" si="9"/>
        <v>3</v>
      </c>
      <c r="P100" s="1">
        <f t="shared" si="10"/>
        <v>17</v>
      </c>
      <c r="Q100" s="1">
        <f>ROUND(G100*H100*VLOOKUP(D100,'Cost Product'!A$1:C$21,3,FALSE),0)</f>
        <v>10</v>
      </c>
      <c r="R100" s="1">
        <f t="shared" si="11"/>
        <v>7</v>
      </c>
    </row>
    <row r="101" spans="1:18" x14ac:dyDescent="0.25">
      <c r="A101" s="1" t="s">
        <v>237</v>
      </c>
      <c r="B101" t="s">
        <v>238</v>
      </c>
      <c r="C101" t="s">
        <v>11</v>
      </c>
      <c r="D101" t="s">
        <v>36</v>
      </c>
      <c r="E101" s="4">
        <v>45210</v>
      </c>
      <c r="F101" s="4">
        <v>45213</v>
      </c>
      <c r="G101" s="1">
        <v>5</v>
      </c>
      <c r="H101" s="1">
        <v>6.25</v>
      </c>
      <c r="I101" t="s">
        <v>13</v>
      </c>
      <c r="J101" t="s">
        <v>2141</v>
      </c>
      <c r="K101" t="s">
        <v>28</v>
      </c>
      <c r="L101" s="1" t="str">
        <f t="shared" si="6"/>
        <v>2023</v>
      </c>
      <c r="M101" t="str">
        <f t="shared" si="7"/>
        <v>Oct</v>
      </c>
      <c r="N101" t="str">
        <f t="shared" si="8"/>
        <v>Wed</v>
      </c>
      <c r="O101" s="1">
        <f t="shared" si="9"/>
        <v>3</v>
      </c>
      <c r="P101" s="1">
        <f t="shared" si="10"/>
        <v>31.25</v>
      </c>
      <c r="Q101" s="1">
        <f>ROUND(G101*H101*VLOOKUP(D101,'Cost Product'!A$1:C$21,3,FALSE),0)</f>
        <v>17</v>
      </c>
      <c r="R101" s="1">
        <f t="shared" si="11"/>
        <v>14.25</v>
      </c>
    </row>
    <row r="102" spans="1:18" x14ac:dyDescent="0.25">
      <c r="A102" s="1" t="s">
        <v>239</v>
      </c>
      <c r="B102" t="s">
        <v>240</v>
      </c>
      <c r="C102" t="s">
        <v>65</v>
      </c>
      <c r="D102" t="s">
        <v>115</v>
      </c>
      <c r="E102" s="4">
        <v>45396</v>
      </c>
      <c r="F102" s="4">
        <v>45397</v>
      </c>
      <c r="G102" s="1">
        <v>4</v>
      </c>
      <c r="H102" s="1">
        <v>3</v>
      </c>
      <c r="I102" t="s">
        <v>13</v>
      </c>
      <c r="J102" t="s">
        <v>2141</v>
      </c>
      <c r="K102" t="s">
        <v>14</v>
      </c>
      <c r="L102" s="1" t="str">
        <f t="shared" si="6"/>
        <v>2024</v>
      </c>
      <c r="M102" t="str">
        <f t="shared" si="7"/>
        <v>Apr</v>
      </c>
      <c r="N102" t="str">
        <f t="shared" si="8"/>
        <v>Sun</v>
      </c>
      <c r="O102" s="1">
        <f t="shared" si="9"/>
        <v>1</v>
      </c>
      <c r="P102" s="1">
        <f t="shared" si="10"/>
        <v>12</v>
      </c>
      <c r="Q102" s="1">
        <f>ROUND(G102*H102*VLOOKUP(D102,'Cost Product'!A$1:C$21,3,FALSE),0)</f>
        <v>6</v>
      </c>
      <c r="R102" s="1">
        <f t="shared" si="11"/>
        <v>6</v>
      </c>
    </row>
    <row r="103" spans="1:18" x14ac:dyDescent="0.25">
      <c r="A103" s="1" t="s">
        <v>241</v>
      </c>
      <c r="B103" t="s">
        <v>242</v>
      </c>
      <c r="C103" t="s">
        <v>17</v>
      </c>
      <c r="D103" t="s">
        <v>50</v>
      </c>
      <c r="E103" s="4">
        <v>45346</v>
      </c>
      <c r="F103" s="4">
        <v>45348</v>
      </c>
      <c r="G103" s="1">
        <v>3</v>
      </c>
      <c r="H103" s="1">
        <v>5.25</v>
      </c>
      <c r="I103" t="s">
        <v>13</v>
      </c>
      <c r="J103" t="s">
        <v>2141</v>
      </c>
      <c r="K103" t="s">
        <v>28</v>
      </c>
      <c r="L103" s="1" t="str">
        <f t="shared" si="6"/>
        <v>2024</v>
      </c>
      <c r="M103" t="str">
        <f t="shared" si="7"/>
        <v>Feb</v>
      </c>
      <c r="N103" t="str">
        <f t="shared" si="8"/>
        <v>Sat</v>
      </c>
      <c r="O103" s="1">
        <f t="shared" si="9"/>
        <v>2</v>
      </c>
      <c r="P103" s="1">
        <f t="shared" si="10"/>
        <v>15.75</v>
      </c>
      <c r="Q103" s="1">
        <f>ROUND(G103*H103*VLOOKUP(D103,'Cost Product'!A$1:C$21,3,FALSE),0)</f>
        <v>9</v>
      </c>
      <c r="R103" s="1">
        <f t="shared" si="11"/>
        <v>6.75</v>
      </c>
    </row>
    <row r="104" spans="1:18" x14ac:dyDescent="0.25">
      <c r="A104" s="1" t="s">
        <v>243</v>
      </c>
      <c r="B104" t="s">
        <v>244</v>
      </c>
      <c r="C104" t="s">
        <v>65</v>
      </c>
      <c r="D104" t="s">
        <v>66</v>
      </c>
      <c r="E104" s="4">
        <v>45155</v>
      </c>
      <c r="F104" s="4">
        <v>45159</v>
      </c>
      <c r="G104" s="1">
        <v>5</v>
      </c>
      <c r="H104" s="1">
        <v>3.5</v>
      </c>
      <c r="I104" t="s">
        <v>13</v>
      </c>
      <c r="J104" t="s">
        <v>2142</v>
      </c>
      <c r="K104" t="s">
        <v>28</v>
      </c>
      <c r="L104" s="1" t="str">
        <f t="shared" si="6"/>
        <v>2023</v>
      </c>
      <c r="M104" t="str">
        <f t="shared" si="7"/>
        <v>Aug</v>
      </c>
      <c r="N104" t="str">
        <f t="shared" si="8"/>
        <v>Thu</v>
      </c>
      <c r="O104" s="1">
        <f t="shared" si="9"/>
        <v>4</v>
      </c>
      <c r="P104" s="1">
        <f t="shared" si="10"/>
        <v>17.5</v>
      </c>
      <c r="Q104" s="1">
        <f>ROUND(G104*H104*VLOOKUP(D104,'Cost Product'!A$1:C$21,3,FALSE),0)</f>
        <v>8</v>
      </c>
      <c r="R104" s="1">
        <f t="shared" si="11"/>
        <v>9.5</v>
      </c>
    </row>
    <row r="105" spans="1:18" x14ac:dyDescent="0.25">
      <c r="A105" s="1" t="s">
        <v>245</v>
      </c>
      <c r="B105" t="s">
        <v>246</v>
      </c>
      <c r="C105" t="s">
        <v>65</v>
      </c>
      <c r="D105" t="s">
        <v>115</v>
      </c>
      <c r="E105" s="4">
        <v>45538</v>
      </c>
      <c r="F105" s="4">
        <v>45539</v>
      </c>
      <c r="G105" s="1">
        <v>1</v>
      </c>
      <c r="H105" s="1">
        <v>3</v>
      </c>
      <c r="I105" t="s">
        <v>13</v>
      </c>
      <c r="J105" t="s">
        <v>2142</v>
      </c>
      <c r="K105" t="s">
        <v>19</v>
      </c>
      <c r="L105" s="1" t="str">
        <f t="shared" si="6"/>
        <v>2024</v>
      </c>
      <c r="M105" t="str">
        <f t="shared" si="7"/>
        <v>Sep</v>
      </c>
      <c r="N105" t="str">
        <f t="shared" si="8"/>
        <v>Tue</v>
      </c>
      <c r="O105" s="1">
        <f t="shared" si="9"/>
        <v>1</v>
      </c>
      <c r="P105" s="1">
        <f t="shared" si="10"/>
        <v>3</v>
      </c>
      <c r="Q105" s="1">
        <f>ROUND(G105*H105*VLOOKUP(D105,'Cost Product'!A$1:C$21,3,FALSE),0)</f>
        <v>1</v>
      </c>
      <c r="R105" s="1">
        <f t="shared" si="11"/>
        <v>2</v>
      </c>
    </row>
    <row r="106" spans="1:18" x14ac:dyDescent="0.25">
      <c r="A106" s="1" t="s">
        <v>247</v>
      </c>
      <c r="B106" t="s">
        <v>248</v>
      </c>
      <c r="C106" t="s">
        <v>65</v>
      </c>
      <c r="D106" t="s">
        <v>99</v>
      </c>
      <c r="E106" s="4">
        <v>45557</v>
      </c>
      <c r="F106" s="4">
        <v>45571</v>
      </c>
      <c r="G106" s="1">
        <v>2</v>
      </c>
      <c r="H106" s="1">
        <v>4</v>
      </c>
      <c r="I106" t="s">
        <v>13</v>
      </c>
      <c r="J106" t="s">
        <v>2142</v>
      </c>
      <c r="K106" t="s">
        <v>14</v>
      </c>
      <c r="L106" s="1" t="str">
        <f t="shared" si="6"/>
        <v>2024</v>
      </c>
      <c r="M106" t="str">
        <f t="shared" si="7"/>
        <v>Sep</v>
      </c>
      <c r="N106" t="str">
        <f t="shared" si="8"/>
        <v>Sun</v>
      </c>
      <c r="O106" s="1">
        <f t="shared" si="9"/>
        <v>14</v>
      </c>
      <c r="P106" s="1">
        <f t="shared" si="10"/>
        <v>8</v>
      </c>
      <c r="Q106" s="1">
        <f>ROUND(G106*H106*VLOOKUP(D106,'Cost Product'!A$1:C$21,3,FALSE),0)</f>
        <v>4</v>
      </c>
      <c r="R106" s="1">
        <f t="shared" si="11"/>
        <v>4</v>
      </c>
    </row>
    <row r="107" spans="1:18" x14ac:dyDescent="0.25">
      <c r="A107" s="1" t="s">
        <v>249</v>
      </c>
      <c r="B107" t="s">
        <v>250</v>
      </c>
      <c r="C107" t="s">
        <v>65</v>
      </c>
      <c r="D107" t="s">
        <v>115</v>
      </c>
      <c r="E107" s="4">
        <v>45341</v>
      </c>
      <c r="F107" s="4">
        <v>45344</v>
      </c>
      <c r="G107" s="1">
        <v>4</v>
      </c>
      <c r="H107" s="1">
        <v>3</v>
      </c>
      <c r="I107" t="s">
        <v>13</v>
      </c>
      <c r="J107" t="s">
        <v>2141</v>
      </c>
      <c r="K107" t="s">
        <v>19</v>
      </c>
      <c r="L107" s="1" t="str">
        <f t="shared" si="6"/>
        <v>2024</v>
      </c>
      <c r="M107" t="str">
        <f t="shared" si="7"/>
        <v>Feb</v>
      </c>
      <c r="N107" t="str">
        <f t="shared" si="8"/>
        <v>Mon</v>
      </c>
      <c r="O107" s="1">
        <f t="shared" si="9"/>
        <v>3</v>
      </c>
      <c r="P107" s="1">
        <f t="shared" si="10"/>
        <v>12</v>
      </c>
      <c r="Q107" s="1">
        <f>ROUND(G107*H107*VLOOKUP(D107,'Cost Product'!A$1:C$21,3,FALSE),0)</f>
        <v>6</v>
      </c>
      <c r="R107" s="1">
        <f t="shared" si="11"/>
        <v>6</v>
      </c>
    </row>
    <row r="108" spans="1:18" x14ac:dyDescent="0.25">
      <c r="A108" s="1" t="s">
        <v>251</v>
      </c>
      <c r="B108" t="s">
        <v>252</v>
      </c>
      <c r="C108" t="s">
        <v>22</v>
      </c>
      <c r="D108" t="s">
        <v>59</v>
      </c>
      <c r="E108" s="4">
        <v>45469</v>
      </c>
      <c r="F108" s="4">
        <v>45472</v>
      </c>
      <c r="G108" s="1">
        <v>2</v>
      </c>
      <c r="H108" s="1">
        <v>8.5</v>
      </c>
      <c r="I108" t="s">
        <v>13</v>
      </c>
      <c r="J108" t="s">
        <v>2142</v>
      </c>
      <c r="K108" t="s">
        <v>28</v>
      </c>
      <c r="L108" s="1" t="str">
        <f t="shared" si="6"/>
        <v>2024</v>
      </c>
      <c r="M108" t="str">
        <f t="shared" si="7"/>
        <v>Jun</v>
      </c>
      <c r="N108" t="str">
        <f t="shared" si="8"/>
        <v>Wed</v>
      </c>
      <c r="O108" s="1">
        <f t="shared" si="9"/>
        <v>3</v>
      </c>
      <c r="P108" s="1">
        <f t="shared" si="10"/>
        <v>17</v>
      </c>
      <c r="Q108" s="1">
        <f>ROUND(G108*H108*VLOOKUP(D108,'Cost Product'!A$1:C$21,3,FALSE),0)</f>
        <v>10</v>
      </c>
      <c r="R108" s="1">
        <f t="shared" si="11"/>
        <v>7</v>
      </c>
    </row>
    <row r="109" spans="1:18" x14ac:dyDescent="0.25">
      <c r="A109" s="1" t="s">
        <v>253</v>
      </c>
      <c r="B109" t="s">
        <v>254</v>
      </c>
      <c r="C109" t="s">
        <v>17</v>
      </c>
      <c r="D109" t="s">
        <v>79</v>
      </c>
      <c r="E109" s="4">
        <v>45192</v>
      </c>
      <c r="F109" s="4">
        <v>45195</v>
      </c>
      <c r="G109" s="1">
        <v>2</v>
      </c>
      <c r="H109" s="1">
        <v>5</v>
      </c>
      <c r="I109" t="s">
        <v>13</v>
      </c>
      <c r="J109" t="s">
        <v>2146</v>
      </c>
      <c r="K109" t="s">
        <v>14</v>
      </c>
      <c r="L109" s="1" t="str">
        <f t="shared" si="6"/>
        <v>2023</v>
      </c>
      <c r="M109" t="str">
        <f t="shared" si="7"/>
        <v>Sep</v>
      </c>
      <c r="N109" t="str">
        <f t="shared" si="8"/>
        <v>Sat</v>
      </c>
      <c r="O109" s="1">
        <f t="shared" si="9"/>
        <v>3</v>
      </c>
      <c r="P109" s="1">
        <f t="shared" si="10"/>
        <v>10</v>
      </c>
      <c r="Q109" s="1">
        <f>ROUND(G109*H109*VLOOKUP(D109,'Cost Product'!A$1:C$21,3,FALSE),0)</f>
        <v>6</v>
      </c>
      <c r="R109" s="1">
        <f t="shared" si="11"/>
        <v>4</v>
      </c>
    </row>
    <row r="110" spans="1:18" x14ac:dyDescent="0.25">
      <c r="A110" s="1" t="s">
        <v>255</v>
      </c>
      <c r="B110" t="s">
        <v>256</v>
      </c>
      <c r="C110" t="s">
        <v>65</v>
      </c>
      <c r="D110" t="s">
        <v>115</v>
      </c>
      <c r="E110" s="4">
        <v>45487</v>
      </c>
      <c r="F110" s="4">
        <v>45488</v>
      </c>
      <c r="G110" s="1">
        <v>4</v>
      </c>
      <c r="H110" s="1">
        <v>3</v>
      </c>
      <c r="I110" t="s">
        <v>13</v>
      </c>
      <c r="J110" t="s">
        <v>2142</v>
      </c>
      <c r="K110" t="s">
        <v>19</v>
      </c>
      <c r="L110" s="1" t="str">
        <f t="shared" si="6"/>
        <v>2024</v>
      </c>
      <c r="M110" t="str">
        <f t="shared" si="7"/>
        <v>Jul</v>
      </c>
      <c r="N110" t="str">
        <f t="shared" si="8"/>
        <v>Sun</v>
      </c>
      <c r="O110" s="1">
        <f t="shared" si="9"/>
        <v>1</v>
      </c>
      <c r="P110" s="1">
        <f t="shared" si="10"/>
        <v>12</v>
      </c>
      <c r="Q110" s="1">
        <f>ROUND(G110*H110*VLOOKUP(D110,'Cost Product'!A$1:C$21,3,FALSE),0)</f>
        <v>6</v>
      </c>
      <c r="R110" s="1">
        <f t="shared" si="11"/>
        <v>6</v>
      </c>
    </row>
    <row r="111" spans="1:18" x14ac:dyDescent="0.25">
      <c r="A111" s="1" t="s">
        <v>257</v>
      </c>
      <c r="B111" t="s">
        <v>258</v>
      </c>
      <c r="C111" t="s">
        <v>17</v>
      </c>
      <c r="D111" t="s">
        <v>50</v>
      </c>
      <c r="E111" s="4">
        <v>45279</v>
      </c>
      <c r="F111" s="4">
        <v>45283</v>
      </c>
      <c r="G111" s="1">
        <v>1</v>
      </c>
      <c r="H111" s="1">
        <v>5.25</v>
      </c>
      <c r="I111" t="s">
        <v>40</v>
      </c>
      <c r="J111" t="s">
        <v>2141</v>
      </c>
      <c r="K111" t="s">
        <v>28</v>
      </c>
      <c r="L111" s="1" t="str">
        <f t="shared" si="6"/>
        <v>2023</v>
      </c>
      <c r="M111" t="str">
        <f t="shared" si="7"/>
        <v>Dec</v>
      </c>
      <c r="N111" t="str">
        <f t="shared" si="8"/>
        <v>Tue</v>
      </c>
      <c r="O111" s="1">
        <f t="shared" si="9"/>
        <v>4</v>
      </c>
      <c r="P111" s="1">
        <f t="shared" si="10"/>
        <v>5.25</v>
      </c>
      <c r="Q111" s="1">
        <f>ROUND(G111*H111*VLOOKUP(D111,'Cost Product'!A$1:C$21,3,FALSE),0)</f>
        <v>3</v>
      </c>
      <c r="R111" s="1">
        <f t="shared" si="11"/>
        <v>2.25</v>
      </c>
    </row>
    <row r="112" spans="1:18" x14ac:dyDescent="0.25">
      <c r="A112" s="1" t="s">
        <v>259</v>
      </c>
      <c r="B112" t="s">
        <v>260</v>
      </c>
      <c r="C112" t="s">
        <v>65</v>
      </c>
      <c r="D112" t="s">
        <v>115</v>
      </c>
      <c r="E112" s="4">
        <v>45364</v>
      </c>
      <c r="F112" s="4">
        <v>45368</v>
      </c>
      <c r="G112" s="1">
        <v>5</v>
      </c>
      <c r="H112" s="1">
        <v>3</v>
      </c>
      <c r="I112" t="s">
        <v>13</v>
      </c>
      <c r="J112" t="s">
        <v>2146</v>
      </c>
      <c r="K112" t="s">
        <v>28</v>
      </c>
      <c r="L112" s="1" t="str">
        <f t="shared" si="6"/>
        <v>2024</v>
      </c>
      <c r="M112" t="str">
        <f t="shared" si="7"/>
        <v>Mar</v>
      </c>
      <c r="N112" t="str">
        <f t="shared" si="8"/>
        <v>Wed</v>
      </c>
      <c r="O112" s="1">
        <f t="shared" si="9"/>
        <v>4</v>
      </c>
      <c r="P112" s="1">
        <f t="shared" si="10"/>
        <v>15</v>
      </c>
      <c r="Q112" s="1">
        <f>ROUND(G112*H112*VLOOKUP(D112,'Cost Product'!A$1:C$21,3,FALSE),0)</f>
        <v>7</v>
      </c>
      <c r="R112" s="1">
        <f t="shared" si="11"/>
        <v>8</v>
      </c>
    </row>
    <row r="113" spans="1:18" x14ac:dyDescent="0.25">
      <c r="A113" s="1" t="s">
        <v>261</v>
      </c>
      <c r="B113" t="s">
        <v>262</v>
      </c>
      <c r="C113" t="s">
        <v>26</v>
      </c>
      <c r="D113" t="s">
        <v>82</v>
      </c>
      <c r="E113" s="4">
        <v>45552</v>
      </c>
      <c r="F113" s="4">
        <v>45555</v>
      </c>
      <c r="G113" s="1">
        <v>1</v>
      </c>
      <c r="H113" s="1">
        <v>4.25</v>
      </c>
      <c r="I113" t="s">
        <v>13</v>
      </c>
      <c r="J113" t="s">
        <v>2146</v>
      </c>
      <c r="K113" t="s">
        <v>28</v>
      </c>
      <c r="L113" s="1" t="str">
        <f t="shared" si="6"/>
        <v>2024</v>
      </c>
      <c r="M113" t="str">
        <f t="shared" si="7"/>
        <v>Sep</v>
      </c>
      <c r="N113" t="str">
        <f t="shared" si="8"/>
        <v>Tue</v>
      </c>
      <c r="O113" s="1">
        <f t="shared" si="9"/>
        <v>3</v>
      </c>
      <c r="P113" s="1">
        <f t="shared" si="10"/>
        <v>4.25</v>
      </c>
      <c r="Q113" s="1">
        <f>ROUND(G113*H113*VLOOKUP(D113,'Cost Product'!A$1:C$21,3,FALSE),0)</f>
        <v>2</v>
      </c>
      <c r="R113" s="1">
        <f t="shared" si="11"/>
        <v>2.25</v>
      </c>
    </row>
    <row r="114" spans="1:18" x14ac:dyDescent="0.25">
      <c r="A114" s="1" t="s">
        <v>263</v>
      </c>
      <c r="B114" t="s">
        <v>264</v>
      </c>
      <c r="C114" t="s">
        <v>65</v>
      </c>
      <c r="D114" t="s">
        <v>120</v>
      </c>
      <c r="E114" s="4">
        <v>45230</v>
      </c>
      <c r="F114" s="4">
        <v>45231</v>
      </c>
      <c r="G114" s="1">
        <v>2</v>
      </c>
      <c r="H114" s="1">
        <v>3.75</v>
      </c>
      <c r="I114" t="s">
        <v>13</v>
      </c>
      <c r="J114" t="s">
        <v>2141</v>
      </c>
      <c r="K114" t="s">
        <v>14</v>
      </c>
      <c r="L114" s="1" t="str">
        <f t="shared" si="6"/>
        <v>2023</v>
      </c>
      <c r="M114" t="str">
        <f t="shared" si="7"/>
        <v>Oct</v>
      </c>
      <c r="N114" t="str">
        <f t="shared" si="8"/>
        <v>Tue</v>
      </c>
      <c r="O114" s="1">
        <f t="shared" si="9"/>
        <v>1</v>
      </c>
      <c r="P114" s="1">
        <f t="shared" si="10"/>
        <v>7.5</v>
      </c>
      <c r="Q114" s="1">
        <f>ROUND(G114*H114*VLOOKUP(D114,'Cost Product'!A$1:C$21,3,FALSE),0)</f>
        <v>4</v>
      </c>
      <c r="R114" s="1">
        <f t="shared" si="11"/>
        <v>3.5</v>
      </c>
    </row>
    <row r="115" spans="1:18" x14ac:dyDescent="0.25">
      <c r="A115" s="1" t="s">
        <v>265</v>
      </c>
      <c r="B115" t="s">
        <v>266</v>
      </c>
      <c r="C115" t="s">
        <v>22</v>
      </c>
      <c r="D115" t="s">
        <v>56</v>
      </c>
      <c r="E115" s="4">
        <v>45113</v>
      </c>
      <c r="F115" s="4">
        <v>45114</v>
      </c>
      <c r="G115" s="1">
        <v>2</v>
      </c>
      <c r="H115" s="1">
        <v>8.75</v>
      </c>
      <c r="I115" t="s">
        <v>13</v>
      </c>
      <c r="J115" t="s">
        <v>2141</v>
      </c>
      <c r="K115" t="s">
        <v>28</v>
      </c>
      <c r="L115" s="1" t="str">
        <f t="shared" si="6"/>
        <v>2023</v>
      </c>
      <c r="M115" t="str">
        <f t="shared" si="7"/>
        <v>Jul</v>
      </c>
      <c r="N115" t="str">
        <f t="shared" si="8"/>
        <v>Thu</v>
      </c>
      <c r="O115" s="1">
        <f t="shared" si="9"/>
        <v>1</v>
      </c>
      <c r="P115" s="1">
        <f t="shared" si="10"/>
        <v>17.5</v>
      </c>
      <c r="Q115" s="1">
        <f>ROUND(G115*H115*VLOOKUP(D115,'Cost Product'!A$1:C$21,3,FALSE),0)</f>
        <v>10</v>
      </c>
      <c r="R115" s="1">
        <f t="shared" si="11"/>
        <v>7.5</v>
      </c>
    </row>
    <row r="116" spans="1:18" x14ac:dyDescent="0.25">
      <c r="A116" s="1" t="s">
        <v>267</v>
      </c>
      <c r="B116" t="s">
        <v>268</v>
      </c>
      <c r="C116" t="s">
        <v>65</v>
      </c>
      <c r="D116" t="s">
        <v>115</v>
      </c>
      <c r="E116" s="4">
        <v>45352</v>
      </c>
      <c r="F116" s="4">
        <v>45359</v>
      </c>
      <c r="G116" s="1">
        <v>3</v>
      </c>
      <c r="H116" s="1">
        <v>3</v>
      </c>
      <c r="I116" t="s">
        <v>13</v>
      </c>
      <c r="J116" t="s">
        <v>2141</v>
      </c>
      <c r="K116" t="s">
        <v>19</v>
      </c>
      <c r="L116" s="1" t="str">
        <f t="shared" si="6"/>
        <v>2024</v>
      </c>
      <c r="M116" t="str">
        <f t="shared" si="7"/>
        <v>Mar</v>
      </c>
      <c r="N116" t="str">
        <f t="shared" si="8"/>
        <v>Fri</v>
      </c>
      <c r="O116" s="1">
        <f t="shared" si="9"/>
        <v>7</v>
      </c>
      <c r="P116" s="1">
        <f t="shared" si="10"/>
        <v>9</v>
      </c>
      <c r="Q116" s="1">
        <f>ROUND(G116*H116*VLOOKUP(D116,'Cost Product'!A$1:C$21,3,FALSE),0)</f>
        <v>4</v>
      </c>
      <c r="R116" s="1">
        <f t="shared" si="11"/>
        <v>5</v>
      </c>
    </row>
    <row r="117" spans="1:18" x14ac:dyDescent="0.25">
      <c r="A117" s="1" t="s">
        <v>269</v>
      </c>
      <c r="B117" t="s">
        <v>270</v>
      </c>
      <c r="C117" t="s">
        <v>11</v>
      </c>
      <c r="D117" t="s">
        <v>12</v>
      </c>
      <c r="E117" s="4">
        <v>45471</v>
      </c>
      <c r="F117" s="4">
        <v>45472</v>
      </c>
      <c r="G117" s="1">
        <v>2</v>
      </c>
      <c r="H117" s="1">
        <v>6.5</v>
      </c>
      <c r="I117" t="s">
        <v>13</v>
      </c>
      <c r="J117" t="s">
        <v>2146</v>
      </c>
      <c r="K117" t="s">
        <v>28</v>
      </c>
      <c r="L117" s="1" t="str">
        <f t="shared" si="6"/>
        <v>2024</v>
      </c>
      <c r="M117" t="str">
        <f t="shared" si="7"/>
        <v>Jun</v>
      </c>
      <c r="N117" t="str">
        <f t="shared" si="8"/>
        <v>Fri</v>
      </c>
      <c r="O117" s="1">
        <f t="shared" si="9"/>
        <v>1</v>
      </c>
      <c r="P117" s="1">
        <f t="shared" si="10"/>
        <v>13</v>
      </c>
      <c r="Q117" s="1">
        <f>ROUND(G117*H117*VLOOKUP(D117,'Cost Product'!A$1:C$21,3,FALSE),0)</f>
        <v>8</v>
      </c>
      <c r="R117" s="1">
        <f t="shared" si="11"/>
        <v>5</v>
      </c>
    </row>
    <row r="118" spans="1:18" x14ac:dyDescent="0.25">
      <c r="A118" s="1" t="s">
        <v>271</v>
      </c>
      <c r="B118" t="s">
        <v>272</v>
      </c>
      <c r="C118" t="s">
        <v>22</v>
      </c>
      <c r="D118" t="s">
        <v>23</v>
      </c>
      <c r="E118" s="4">
        <v>45137</v>
      </c>
      <c r="F118" s="4">
        <v>45141</v>
      </c>
      <c r="G118" s="1">
        <v>3</v>
      </c>
      <c r="H118" s="1">
        <v>10</v>
      </c>
      <c r="I118" t="s">
        <v>13</v>
      </c>
      <c r="J118" t="s">
        <v>2141</v>
      </c>
      <c r="K118" t="s">
        <v>14</v>
      </c>
      <c r="L118" s="1" t="str">
        <f t="shared" si="6"/>
        <v>2023</v>
      </c>
      <c r="M118" t="str">
        <f t="shared" si="7"/>
        <v>Jul</v>
      </c>
      <c r="N118" t="str">
        <f t="shared" si="8"/>
        <v>Sun</v>
      </c>
      <c r="O118" s="1">
        <f t="shared" si="9"/>
        <v>4</v>
      </c>
      <c r="P118" s="1">
        <f t="shared" si="10"/>
        <v>30</v>
      </c>
      <c r="Q118" s="1">
        <f>ROUND(G118*H118*VLOOKUP(D118,'Cost Product'!A$1:C$21,3,FALSE),0)</f>
        <v>20</v>
      </c>
      <c r="R118" s="1">
        <f t="shared" si="11"/>
        <v>10</v>
      </c>
    </row>
    <row r="119" spans="1:18" x14ac:dyDescent="0.25">
      <c r="A119" s="1" t="s">
        <v>273</v>
      </c>
      <c r="B119" t="s">
        <v>274</v>
      </c>
      <c r="C119" t="s">
        <v>11</v>
      </c>
      <c r="D119" t="s">
        <v>31</v>
      </c>
      <c r="E119" s="4">
        <v>45292</v>
      </c>
      <c r="F119" s="4">
        <v>45299</v>
      </c>
      <c r="G119" s="1">
        <v>2</v>
      </c>
      <c r="H119" s="1">
        <v>5.5</v>
      </c>
      <c r="I119" t="s">
        <v>40</v>
      </c>
      <c r="J119" t="s">
        <v>2141</v>
      </c>
      <c r="K119" t="s">
        <v>28</v>
      </c>
      <c r="L119" s="1" t="str">
        <f t="shared" si="6"/>
        <v>2024</v>
      </c>
      <c r="M119" t="str">
        <f t="shared" si="7"/>
        <v>Jan</v>
      </c>
      <c r="N119" t="str">
        <f t="shared" si="8"/>
        <v>Mon</v>
      </c>
      <c r="O119" s="1">
        <f t="shared" si="9"/>
        <v>7</v>
      </c>
      <c r="P119" s="1">
        <f t="shared" si="10"/>
        <v>11</v>
      </c>
      <c r="Q119" s="1">
        <f>ROUND(G119*H119*VLOOKUP(D119,'Cost Product'!A$1:C$21,3,FALSE),0)</f>
        <v>6</v>
      </c>
      <c r="R119" s="1">
        <f t="shared" si="11"/>
        <v>5</v>
      </c>
    </row>
    <row r="120" spans="1:18" x14ac:dyDescent="0.25">
      <c r="A120" s="1" t="s">
        <v>275</v>
      </c>
      <c r="B120" t="s">
        <v>276</v>
      </c>
      <c r="C120" t="s">
        <v>17</v>
      </c>
      <c r="D120" t="s">
        <v>50</v>
      </c>
      <c r="E120" s="4">
        <v>45299</v>
      </c>
      <c r="F120" s="4">
        <v>45300</v>
      </c>
      <c r="G120" s="1">
        <v>4</v>
      </c>
      <c r="H120" s="1">
        <v>5.25</v>
      </c>
      <c r="I120" t="s">
        <v>13</v>
      </c>
      <c r="J120" t="s">
        <v>2144</v>
      </c>
      <c r="K120" t="s">
        <v>19</v>
      </c>
      <c r="L120" s="1" t="str">
        <f t="shared" si="6"/>
        <v>2024</v>
      </c>
      <c r="M120" t="str">
        <f t="shared" si="7"/>
        <v>Jan</v>
      </c>
      <c r="N120" t="str">
        <f t="shared" si="8"/>
        <v>Mon</v>
      </c>
      <c r="O120" s="1">
        <f t="shared" si="9"/>
        <v>1</v>
      </c>
      <c r="P120" s="1">
        <f t="shared" si="10"/>
        <v>21</v>
      </c>
      <c r="Q120" s="1">
        <f>ROUND(G120*H120*VLOOKUP(D120,'Cost Product'!A$1:C$21,3,FALSE),0)</f>
        <v>12</v>
      </c>
      <c r="R120" s="1">
        <f t="shared" si="11"/>
        <v>9</v>
      </c>
    </row>
    <row r="121" spans="1:18" x14ac:dyDescent="0.25">
      <c r="A121" s="1" t="s">
        <v>277</v>
      </c>
      <c r="B121" t="s">
        <v>278</v>
      </c>
      <c r="C121" t="s">
        <v>22</v>
      </c>
      <c r="D121" t="s">
        <v>59</v>
      </c>
      <c r="E121" s="4">
        <v>45145</v>
      </c>
      <c r="F121" s="4">
        <v>45147</v>
      </c>
      <c r="G121" s="1">
        <v>1</v>
      </c>
      <c r="H121" s="1">
        <v>8.5</v>
      </c>
      <c r="I121" t="s">
        <v>40</v>
      </c>
      <c r="J121" t="s">
        <v>2144</v>
      </c>
      <c r="K121" t="s">
        <v>19</v>
      </c>
      <c r="L121" s="1" t="str">
        <f t="shared" si="6"/>
        <v>2023</v>
      </c>
      <c r="M121" t="str">
        <f t="shared" si="7"/>
        <v>Aug</v>
      </c>
      <c r="N121" t="str">
        <f t="shared" si="8"/>
        <v>Mon</v>
      </c>
      <c r="O121" s="1">
        <f t="shared" si="9"/>
        <v>2</v>
      </c>
      <c r="P121" s="1">
        <f t="shared" si="10"/>
        <v>8.5</v>
      </c>
      <c r="Q121" s="1">
        <f>ROUND(G121*H121*VLOOKUP(D121,'Cost Product'!A$1:C$21,3,FALSE),0)</f>
        <v>5</v>
      </c>
      <c r="R121" s="1">
        <f t="shared" si="11"/>
        <v>3.5</v>
      </c>
    </row>
    <row r="122" spans="1:18" x14ac:dyDescent="0.25">
      <c r="A122" s="1" t="s">
        <v>279</v>
      </c>
      <c r="B122" t="s">
        <v>280</v>
      </c>
      <c r="C122" t="s">
        <v>11</v>
      </c>
      <c r="D122" t="s">
        <v>31</v>
      </c>
      <c r="E122" s="4">
        <v>45160</v>
      </c>
      <c r="F122" s="4">
        <v>45163</v>
      </c>
      <c r="G122" s="1">
        <v>1</v>
      </c>
      <c r="H122" s="1">
        <v>5.5</v>
      </c>
      <c r="I122" t="s">
        <v>13</v>
      </c>
      <c r="J122" t="s">
        <v>2142</v>
      </c>
      <c r="K122" t="s">
        <v>28</v>
      </c>
      <c r="L122" s="1" t="str">
        <f t="shared" si="6"/>
        <v>2023</v>
      </c>
      <c r="M122" t="str">
        <f t="shared" si="7"/>
        <v>Aug</v>
      </c>
      <c r="N122" t="str">
        <f t="shared" si="8"/>
        <v>Tue</v>
      </c>
      <c r="O122" s="1">
        <f t="shared" si="9"/>
        <v>3</v>
      </c>
      <c r="P122" s="1">
        <f t="shared" si="10"/>
        <v>5.5</v>
      </c>
      <c r="Q122" s="1">
        <f>ROUND(G122*H122*VLOOKUP(D122,'Cost Product'!A$1:C$21,3,FALSE),0)</f>
        <v>3</v>
      </c>
      <c r="R122" s="1">
        <f t="shared" si="11"/>
        <v>2.5</v>
      </c>
    </row>
    <row r="123" spans="1:18" x14ac:dyDescent="0.25">
      <c r="A123" s="1" t="s">
        <v>281</v>
      </c>
      <c r="B123" t="s">
        <v>282</v>
      </c>
      <c r="C123" t="s">
        <v>65</v>
      </c>
      <c r="D123" t="s">
        <v>115</v>
      </c>
      <c r="E123" s="4">
        <v>45471</v>
      </c>
      <c r="F123" s="4">
        <v>45481</v>
      </c>
      <c r="G123" s="1">
        <v>5</v>
      </c>
      <c r="H123" s="1">
        <v>3</v>
      </c>
      <c r="I123" t="s">
        <v>13</v>
      </c>
      <c r="J123" t="s">
        <v>2142</v>
      </c>
      <c r="K123" t="s">
        <v>28</v>
      </c>
      <c r="L123" s="1" t="str">
        <f t="shared" si="6"/>
        <v>2024</v>
      </c>
      <c r="M123" t="str">
        <f t="shared" si="7"/>
        <v>Jun</v>
      </c>
      <c r="N123" t="str">
        <f t="shared" si="8"/>
        <v>Fri</v>
      </c>
      <c r="O123" s="1">
        <f t="shared" si="9"/>
        <v>10</v>
      </c>
      <c r="P123" s="1">
        <f t="shared" si="10"/>
        <v>15</v>
      </c>
      <c r="Q123" s="1">
        <f>ROUND(G123*H123*VLOOKUP(D123,'Cost Product'!A$1:C$21,3,FALSE),0)</f>
        <v>7</v>
      </c>
      <c r="R123" s="1">
        <f t="shared" si="11"/>
        <v>8</v>
      </c>
    </row>
    <row r="124" spans="1:18" x14ac:dyDescent="0.25">
      <c r="A124" s="1" t="s">
        <v>283</v>
      </c>
      <c r="B124" t="s">
        <v>284</v>
      </c>
      <c r="C124" t="s">
        <v>22</v>
      </c>
      <c r="D124" t="s">
        <v>56</v>
      </c>
      <c r="E124" s="4">
        <v>45293</v>
      </c>
      <c r="F124" s="4">
        <v>45295</v>
      </c>
      <c r="G124" s="1">
        <v>4</v>
      </c>
      <c r="H124" s="1">
        <v>8.75</v>
      </c>
      <c r="I124" t="s">
        <v>13</v>
      </c>
      <c r="J124" t="s">
        <v>2145</v>
      </c>
      <c r="K124" t="s">
        <v>19</v>
      </c>
      <c r="L124" s="1" t="str">
        <f t="shared" si="6"/>
        <v>2024</v>
      </c>
      <c r="M124" t="str">
        <f t="shared" si="7"/>
        <v>Jan</v>
      </c>
      <c r="N124" t="str">
        <f t="shared" si="8"/>
        <v>Tue</v>
      </c>
      <c r="O124" s="1">
        <f t="shared" si="9"/>
        <v>2</v>
      </c>
      <c r="P124" s="1">
        <f t="shared" si="10"/>
        <v>35</v>
      </c>
      <c r="Q124" s="1">
        <f>ROUND(G124*H124*VLOOKUP(D124,'Cost Product'!A$1:C$21,3,FALSE),0)</f>
        <v>20</v>
      </c>
      <c r="R124" s="1">
        <f t="shared" si="11"/>
        <v>15</v>
      </c>
    </row>
    <row r="125" spans="1:18" x14ac:dyDescent="0.25">
      <c r="A125" s="1" t="s">
        <v>285</v>
      </c>
      <c r="B125" t="s">
        <v>286</v>
      </c>
      <c r="C125" t="s">
        <v>26</v>
      </c>
      <c r="D125" t="s">
        <v>45</v>
      </c>
      <c r="E125" s="4">
        <v>45483</v>
      </c>
      <c r="F125" s="4">
        <v>45484</v>
      </c>
      <c r="G125" s="1">
        <v>3</v>
      </c>
      <c r="H125" s="1">
        <v>4.5</v>
      </c>
      <c r="I125" t="s">
        <v>13</v>
      </c>
      <c r="J125" t="s">
        <v>2141</v>
      </c>
      <c r="K125" t="s">
        <v>28</v>
      </c>
      <c r="L125" s="1" t="str">
        <f t="shared" si="6"/>
        <v>2024</v>
      </c>
      <c r="M125" t="str">
        <f t="shared" si="7"/>
        <v>Jul</v>
      </c>
      <c r="N125" t="str">
        <f t="shared" si="8"/>
        <v>Wed</v>
      </c>
      <c r="O125" s="1">
        <f t="shared" si="9"/>
        <v>1</v>
      </c>
      <c r="P125" s="1">
        <f t="shared" si="10"/>
        <v>13.5</v>
      </c>
      <c r="Q125" s="1">
        <f>ROUND(G125*H125*VLOOKUP(D125,'Cost Product'!A$1:C$21,3,FALSE),0)</f>
        <v>7</v>
      </c>
      <c r="R125" s="1">
        <f t="shared" si="11"/>
        <v>6.5</v>
      </c>
    </row>
    <row r="126" spans="1:18" x14ac:dyDescent="0.25">
      <c r="A126" s="1" t="s">
        <v>287</v>
      </c>
      <c r="B126" t="s">
        <v>288</v>
      </c>
      <c r="C126" t="s">
        <v>17</v>
      </c>
      <c r="D126" t="s">
        <v>50</v>
      </c>
      <c r="E126" s="4">
        <v>45143</v>
      </c>
      <c r="F126" s="4">
        <v>45149</v>
      </c>
      <c r="G126" s="1">
        <v>3</v>
      </c>
      <c r="H126" s="1">
        <v>5.25</v>
      </c>
      <c r="I126" t="s">
        <v>40</v>
      </c>
      <c r="J126" t="s">
        <v>2142</v>
      </c>
      <c r="K126" t="s">
        <v>19</v>
      </c>
      <c r="L126" s="1" t="str">
        <f t="shared" si="6"/>
        <v>2023</v>
      </c>
      <c r="M126" t="str">
        <f t="shared" si="7"/>
        <v>Aug</v>
      </c>
      <c r="N126" t="str">
        <f t="shared" si="8"/>
        <v>Sat</v>
      </c>
      <c r="O126" s="1">
        <f t="shared" si="9"/>
        <v>6</v>
      </c>
      <c r="P126" s="1">
        <f t="shared" si="10"/>
        <v>15.75</v>
      </c>
      <c r="Q126" s="1">
        <f>ROUND(G126*H126*VLOOKUP(D126,'Cost Product'!A$1:C$21,3,FALSE),0)</f>
        <v>9</v>
      </c>
      <c r="R126" s="1">
        <f t="shared" si="11"/>
        <v>6.75</v>
      </c>
    </row>
    <row r="127" spans="1:18" x14ac:dyDescent="0.25">
      <c r="A127" s="1" t="s">
        <v>289</v>
      </c>
      <c r="B127" t="s">
        <v>290</v>
      </c>
      <c r="C127" t="s">
        <v>11</v>
      </c>
      <c r="D127" t="s">
        <v>31</v>
      </c>
      <c r="E127" s="4">
        <v>45123</v>
      </c>
      <c r="F127" s="4">
        <v>45129</v>
      </c>
      <c r="G127" s="1">
        <v>1</v>
      </c>
      <c r="H127" s="1">
        <v>5.5</v>
      </c>
      <c r="I127" t="s">
        <v>13</v>
      </c>
      <c r="J127" t="s">
        <v>2143</v>
      </c>
      <c r="K127" t="s">
        <v>19</v>
      </c>
      <c r="L127" s="1" t="str">
        <f t="shared" si="6"/>
        <v>2023</v>
      </c>
      <c r="M127" t="str">
        <f t="shared" si="7"/>
        <v>Jul</v>
      </c>
      <c r="N127" t="str">
        <f t="shared" si="8"/>
        <v>Sun</v>
      </c>
      <c r="O127" s="1">
        <f t="shared" si="9"/>
        <v>6</v>
      </c>
      <c r="P127" s="1">
        <f t="shared" si="10"/>
        <v>5.5</v>
      </c>
      <c r="Q127" s="1">
        <f>ROUND(G127*H127*VLOOKUP(D127,'Cost Product'!A$1:C$21,3,FALSE),0)</f>
        <v>3</v>
      </c>
      <c r="R127" s="1">
        <f t="shared" si="11"/>
        <v>2.5</v>
      </c>
    </row>
    <row r="128" spans="1:18" x14ac:dyDescent="0.25">
      <c r="A128" s="1" t="s">
        <v>291</v>
      </c>
      <c r="B128" t="s">
        <v>292</v>
      </c>
      <c r="C128" t="s">
        <v>22</v>
      </c>
      <c r="D128" t="s">
        <v>62</v>
      </c>
      <c r="E128" s="4">
        <v>45371</v>
      </c>
      <c r="F128" s="4">
        <v>45373</v>
      </c>
      <c r="G128" s="1">
        <v>3</v>
      </c>
      <c r="H128" s="1">
        <v>8</v>
      </c>
      <c r="I128" t="s">
        <v>13</v>
      </c>
      <c r="J128" t="s">
        <v>2142</v>
      </c>
      <c r="K128" t="s">
        <v>14</v>
      </c>
      <c r="L128" s="1" t="str">
        <f t="shared" si="6"/>
        <v>2024</v>
      </c>
      <c r="M128" t="str">
        <f t="shared" si="7"/>
        <v>Mar</v>
      </c>
      <c r="N128" t="str">
        <f t="shared" si="8"/>
        <v>Wed</v>
      </c>
      <c r="O128" s="1">
        <f t="shared" si="9"/>
        <v>2</v>
      </c>
      <c r="P128" s="1">
        <f t="shared" si="10"/>
        <v>24</v>
      </c>
      <c r="Q128" s="1">
        <f>ROUND(G128*H128*VLOOKUP(D128,'Cost Product'!A$1:C$21,3,FALSE),0)</f>
        <v>14</v>
      </c>
      <c r="R128" s="1">
        <f t="shared" si="11"/>
        <v>10</v>
      </c>
    </row>
    <row r="129" spans="1:18" x14ac:dyDescent="0.25">
      <c r="A129" s="1" t="s">
        <v>293</v>
      </c>
      <c r="B129" t="s">
        <v>294</v>
      </c>
      <c r="C129" t="s">
        <v>22</v>
      </c>
      <c r="D129" t="s">
        <v>62</v>
      </c>
      <c r="E129" s="4">
        <v>45237</v>
      </c>
      <c r="F129" s="4">
        <v>45247</v>
      </c>
      <c r="G129" s="1">
        <v>3</v>
      </c>
      <c r="H129" s="1">
        <v>8</v>
      </c>
      <c r="I129" t="s">
        <v>13</v>
      </c>
      <c r="J129" t="s">
        <v>2144</v>
      </c>
      <c r="K129" t="s">
        <v>19</v>
      </c>
      <c r="L129" s="1" t="str">
        <f t="shared" si="6"/>
        <v>2023</v>
      </c>
      <c r="M129" t="str">
        <f t="shared" si="7"/>
        <v>Nov</v>
      </c>
      <c r="N129" t="str">
        <f t="shared" si="8"/>
        <v>Tue</v>
      </c>
      <c r="O129" s="1">
        <f t="shared" si="9"/>
        <v>10</v>
      </c>
      <c r="P129" s="1">
        <f t="shared" si="10"/>
        <v>24</v>
      </c>
      <c r="Q129" s="1">
        <f>ROUND(G129*H129*VLOOKUP(D129,'Cost Product'!A$1:C$21,3,FALSE),0)</f>
        <v>14</v>
      </c>
      <c r="R129" s="1">
        <f t="shared" si="11"/>
        <v>10</v>
      </c>
    </row>
    <row r="130" spans="1:18" x14ac:dyDescent="0.25">
      <c r="A130" s="1" t="s">
        <v>295</v>
      </c>
      <c r="B130" t="s">
        <v>296</v>
      </c>
      <c r="C130" t="s">
        <v>65</v>
      </c>
      <c r="D130" t="s">
        <v>120</v>
      </c>
      <c r="E130" s="4">
        <v>45378</v>
      </c>
      <c r="F130" s="4">
        <v>45387</v>
      </c>
      <c r="G130" s="1">
        <v>5</v>
      </c>
      <c r="H130" s="1">
        <v>3.75</v>
      </c>
      <c r="I130" t="s">
        <v>13</v>
      </c>
      <c r="J130" t="s">
        <v>2141</v>
      </c>
      <c r="K130" t="s">
        <v>28</v>
      </c>
      <c r="L130" s="1" t="str">
        <f t="shared" si="6"/>
        <v>2024</v>
      </c>
      <c r="M130" t="str">
        <f t="shared" si="7"/>
        <v>Mar</v>
      </c>
      <c r="N130" t="str">
        <f t="shared" si="8"/>
        <v>Wed</v>
      </c>
      <c r="O130" s="1">
        <f t="shared" si="9"/>
        <v>9</v>
      </c>
      <c r="P130" s="1">
        <f t="shared" si="10"/>
        <v>18.75</v>
      </c>
      <c r="Q130" s="1">
        <f>ROUND(G130*H130*VLOOKUP(D130,'Cost Product'!A$1:C$21,3,FALSE),0)</f>
        <v>9</v>
      </c>
      <c r="R130" s="1">
        <f t="shared" si="11"/>
        <v>9.75</v>
      </c>
    </row>
    <row r="131" spans="1:18" x14ac:dyDescent="0.25">
      <c r="A131" s="1" t="s">
        <v>297</v>
      </c>
      <c r="B131" t="s">
        <v>298</v>
      </c>
      <c r="C131" t="s">
        <v>65</v>
      </c>
      <c r="D131" t="s">
        <v>115</v>
      </c>
      <c r="E131" s="4">
        <v>45570</v>
      </c>
      <c r="F131" s="4">
        <v>45572</v>
      </c>
      <c r="G131" s="1">
        <v>2</v>
      </c>
      <c r="H131" s="1">
        <v>3</v>
      </c>
      <c r="I131" t="s">
        <v>40</v>
      </c>
      <c r="J131" t="s">
        <v>2142</v>
      </c>
      <c r="K131" t="s">
        <v>28</v>
      </c>
      <c r="L131" s="1" t="str">
        <f t="shared" ref="L131:L194" si="12">TEXT(E131, "YYYY")</f>
        <v>2024</v>
      </c>
      <c r="M131" t="str">
        <f t="shared" ref="M131:M194" si="13">TEXT(E131, "MMM")</f>
        <v>Oct</v>
      </c>
      <c r="N131" t="str">
        <f t="shared" ref="N131:N194" si="14">TEXT(E131, "DDD")</f>
        <v>Sat</v>
      </c>
      <c r="O131" s="1">
        <f t="shared" ref="O131:O194" si="15">DATEDIF(E131, F131, "D")</f>
        <v>2</v>
      </c>
      <c r="P131" s="1">
        <f t="shared" ref="P131:P194" si="16">G131*H131</f>
        <v>6</v>
      </c>
      <c r="Q131" s="1">
        <f>ROUND(G131*H131*VLOOKUP(D131,'Cost Product'!A$1:C$21,3,FALSE),0)</f>
        <v>3</v>
      </c>
      <c r="R131" s="1">
        <f t="shared" ref="R131:R194" si="17">P131-Q131</f>
        <v>3</v>
      </c>
    </row>
    <row r="132" spans="1:18" x14ac:dyDescent="0.25">
      <c r="A132" s="1" t="s">
        <v>299</v>
      </c>
      <c r="B132" t="s">
        <v>300</v>
      </c>
      <c r="C132" t="s">
        <v>65</v>
      </c>
      <c r="D132" t="s">
        <v>66</v>
      </c>
      <c r="E132" s="4">
        <v>45472</v>
      </c>
      <c r="F132" s="4">
        <v>45486</v>
      </c>
      <c r="G132" s="1">
        <v>4</v>
      </c>
      <c r="H132" s="1">
        <v>3.5</v>
      </c>
      <c r="I132" t="s">
        <v>40</v>
      </c>
      <c r="J132" t="s">
        <v>2145</v>
      </c>
      <c r="K132" t="s">
        <v>19</v>
      </c>
      <c r="L132" s="1" t="str">
        <f t="shared" si="12"/>
        <v>2024</v>
      </c>
      <c r="M132" t="str">
        <f t="shared" si="13"/>
        <v>Jun</v>
      </c>
      <c r="N132" t="str">
        <f t="shared" si="14"/>
        <v>Sat</v>
      </c>
      <c r="O132" s="1">
        <f t="shared" si="15"/>
        <v>14</v>
      </c>
      <c r="P132" s="1">
        <f t="shared" si="16"/>
        <v>14</v>
      </c>
      <c r="Q132" s="1">
        <f>ROUND(G132*H132*VLOOKUP(D132,'Cost Product'!A$1:C$21,3,FALSE),0)</f>
        <v>7</v>
      </c>
      <c r="R132" s="1">
        <f t="shared" si="17"/>
        <v>7</v>
      </c>
    </row>
    <row r="133" spans="1:18" x14ac:dyDescent="0.25">
      <c r="A133" s="1" t="s">
        <v>301</v>
      </c>
      <c r="B133" t="s">
        <v>302</v>
      </c>
      <c r="C133" t="s">
        <v>17</v>
      </c>
      <c r="D133" t="s">
        <v>18</v>
      </c>
      <c r="E133" s="4">
        <v>45344</v>
      </c>
      <c r="F133" s="4">
        <v>45349</v>
      </c>
      <c r="G133" s="1">
        <v>4</v>
      </c>
      <c r="H133" s="1">
        <v>5.5</v>
      </c>
      <c r="I133" t="s">
        <v>40</v>
      </c>
      <c r="J133" t="s">
        <v>2141</v>
      </c>
      <c r="K133" t="s">
        <v>28</v>
      </c>
      <c r="L133" s="1" t="str">
        <f t="shared" si="12"/>
        <v>2024</v>
      </c>
      <c r="M133" t="str">
        <f t="shared" si="13"/>
        <v>Feb</v>
      </c>
      <c r="N133" t="str">
        <f t="shared" si="14"/>
        <v>Thu</v>
      </c>
      <c r="O133" s="1">
        <f t="shared" si="15"/>
        <v>5</v>
      </c>
      <c r="P133" s="1">
        <f t="shared" si="16"/>
        <v>22</v>
      </c>
      <c r="Q133" s="1">
        <f>ROUND(G133*H133*VLOOKUP(D133,'Cost Product'!A$1:C$21,3,FALSE),0)</f>
        <v>13</v>
      </c>
      <c r="R133" s="1">
        <f t="shared" si="17"/>
        <v>9</v>
      </c>
    </row>
    <row r="134" spans="1:18" x14ac:dyDescent="0.25">
      <c r="A134" s="1" t="s">
        <v>303</v>
      </c>
      <c r="B134" t="s">
        <v>304</v>
      </c>
      <c r="C134" t="s">
        <v>17</v>
      </c>
      <c r="D134" t="s">
        <v>53</v>
      </c>
      <c r="E134" s="4">
        <v>45544</v>
      </c>
      <c r="F134" s="4">
        <v>45550</v>
      </c>
      <c r="G134" s="1">
        <v>1</v>
      </c>
      <c r="H134" s="1">
        <v>4.75</v>
      </c>
      <c r="I134" t="s">
        <v>13</v>
      </c>
      <c r="J134" t="s">
        <v>2145</v>
      </c>
      <c r="K134" t="s">
        <v>28</v>
      </c>
      <c r="L134" s="1" t="str">
        <f t="shared" si="12"/>
        <v>2024</v>
      </c>
      <c r="M134" t="str">
        <f t="shared" si="13"/>
        <v>Sep</v>
      </c>
      <c r="N134" t="str">
        <f t="shared" si="14"/>
        <v>Mon</v>
      </c>
      <c r="O134" s="1">
        <f t="shared" si="15"/>
        <v>6</v>
      </c>
      <c r="P134" s="1">
        <f t="shared" si="16"/>
        <v>4.75</v>
      </c>
      <c r="Q134" s="1">
        <f>ROUND(G134*H134*VLOOKUP(D134,'Cost Product'!A$1:C$21,3,FALSE),0)</f>
        <v>3</v>
      </c>
      <c r="R134" s="1">
        <f t="shared" si="17"/>
        <v>1.75</v>
      </c>
    </row>
    <row r="135" spans="1:18" x14ac:dyDescent="0.25">
      <c r="A135" s="1" t="s">
        <v>305</v>
      </c>
      <c r="B135" t="s">
        <v>306</v>
      </c>
      <c r="C135" t="s">
        <v>65</v>
      </c>
      <c r="D135" t="s">
        <v>120</v>
      </c>
      <c r="E135" s="4">
        <v>45412</v>
      </c>
      <c r="F135" s="4">
        <v>45413</v>
      </c>
      <c r="G135" s="1">
        <v>3</v>
      </c>
      <c r="H135" s="1">
        <v>3.75</v>
      </c>
      <c r="I135" t="s">
        <v>13</v>
      </c>
      <c r="J135" t="s">
        <v>2141</v>
      </c>
      <c r="K135" t="s">
        <v>14</v>
      </c>
      <c r="L135" s="1" t="str">
        <f t="shared" si="12"/>
        <v>2024</v>
      </c>
      <c r="M135" t="str">
        <f t="shared" si="13"/>
        <v>Apr</v>
      </c>
      <c r="N135" t="str">
        <f t="shared" si="14"/>
        <v>Tue</v>
      </c>
      <c r="O135" s="1">
        <f t="shared" si="15"/>
        <v>1</v>
      </c>
      <c r="P135" s="1">
        <f t="shared" si="16"/>
        <v>11.25</v>
      </c>
      <c r="Q135" s="1">
        <f>ROUND(G135*H135*VLOOKUP(D135,'Cost Product'!A$1:C$21,3,FALSE),0)</f>
        <v>6</v>
      </c>
      <c r="R135" s="1">
        <f t="shared" si="17"/>
        <v>5.25</v>
      </c>
    </row>
    <row r="136" spans="1:18" x14ac:dyDescent="0.25">
      <c r="A136" s="1" t="s">
        <v>307</v>
      </c>
      <c r="B136" t="s">
        <v>308</v>
      </c>
      <c r="C136" t="s">
        <v>65</v>
      </c>
      <c r="D136" t="s">
        <v>120</v>
      </c>
      <c r="E136" s="4">
        <v>45431</v>
      </c>
      <c r="F136" s="4">
        <v>45433</v>
      </c>
      <c r="G136" s="1">
        <v>3</v>
      </c>
      <c r="H136" s="1">
        <v>3.75</v>
      </c>
      <c r="I136" t="s">
        <v>13</v>
      </c>
      <c r="J136" t="s">
        <v>2144</v>
      </c>
      <c r="K136" t="s">
        <v>14</v>
      </c>
      <c r="L136" s="1" t="str">
        <f t="shared" si="12"/>
        <v>2024</v>
      </c>
      <c r="M136" t="str">
        <f t="shared" si="13"/>
        <v>May</v>
      </c>
      <c r="N136" t="str">
        <f t="shared" si="14"/>
        <v>Sun</v>
      </c>
      <c r="O136" s="1">
        <f t="shared" si="15"/>
        <v>2</v>
      </c>
      <c r="P136" s="1">
        <f t="shared" si="16"/>
        <v>11.25</v>
      </c>
      <c r="Q136" s="1">
        <f>ROUND(G136*H136*VLOOKUP(D136,'Cost Product'!A$1:C$21,3,FALSE),0)</f>
        <v>6</v>
      </c>
      <c r="R136" s="1">
        <f t="shared" si="17"/>
        <v>5.25</v>
      </c>
    </row>
    <row r="137" spans="1:18" x14ac:dyDescent="0.25">
      <c r="A137" s="1" t="s">
        <v>309</v>
      </c>
      <c r="B137" t="s">
        <v>310</v>
      </c>
      <c r="C137" t="s">
        <v>65</v>
      </c>
      <c r="D137" t="s">
        <v>66</v>
      </c>
      <c r="E137" s="4">
        <v>45554</v>
      </c>
      <c r="F137" s="4">
        <v>45561</v>
      </c>
      <c r="G137" s="1">
        <v>1</v>
      </c>
      <c r="H137" s="1">
        <v>3.5</v>
      </c>
      <c r="I137" t="s">
        <v>40</v>
      </c>
      <c r="J137" t="s">
        <v>2141</v>
      </c>
      <c r="K137" t="s">
        <v>28</v>
      </c>
      <c r="L137" s="1" t="str">
        <f t="shared" si="12"/>
        <v>2024</v>
      </c>
      <c r="M137" t="str">
        <f t="shared" si="13"/>
        <v>Sep</v>
      </c>
      <c r="N137" t="str">
        <f t="shared" si="14"/>
        <v>Thu</v>
      </c>
      <c r="O137" s="1">
        <f t="shared" si="15"/>
        <v>7</v>
      </c>
      <c r="P137" s="1">
        <f t="shared" si="16"/>
        <v>3.5</v>
      </c>
      <c r="Q137" s="1">
        <f>ROUND(G137*H137*VLOOKUP(D137,'Cost Product'!A$1:C$21,3,FALSE),0)</f>
        <v>2</v>
      </c>
      <c r="R137" s="1">
        <f t="shared" si="17"/>
        <v>1.5</v>
      </c>
    </row>
    <row r="138" spans="1:18" x14ac:dyDescent="0.25">
      <c r="A138" s="1" t="s">
        <v>311</v>
      </c>
      <c r="B138" t="s">
        <v>312</v>
      </c>
      <c r="C138" t="s">
        <v>17</v>
      </c>
      <c r="D138" t="s">
        <v>79</v>
      </c>
      <c r="E138" s="4">
        <v>45118</v>
      </c>
      <c r="F138" s="4">
        <v>45119</v>
      </c>
      <c r="G138" s="1">
        <v>2</v>
      </c>
      <c r="H138" s="1">
        <v>5</v>
      </c>
      <c r="I138" t="s">
        <v>13</v>
      </c>
      <c r="J138" t="s">
        <v>2143</v>
      </c>
      <c r="K138" t="s">
        <v>28</v>
      </c>
      <c r="L138" s="1" t="str">
        <f t="shared" si="12"/>
        <v>2023</v>
      </c>
      <c r="M138" t="str">
        <f t="shared" si="13"/>
        <v>Jul</v>
      </c>
      <c r="N138" t="str">
        <f t="shared" si="14"/>
        <v>Tue</v>
      </c>
      <c r="O138" s="1">
        <f t="shared" si="15"/>
        <v>1</v>
      </c>
      <c r="P138" s="1">
        <f t="shared" si="16"/>
        <v>10</v>
      </c>
      <c r="Q138" s="1">
        <f>ROUND(G138*H138*VLOOKUP(D138,'Cost Product'!A$1:C$21,3,FALSE),0)</f>
        <v>6</v>
      </c>
      <c r="R138" s="1">
        <f t="shared" si="17"/>
        <v>4</v>
      </c>
    </row>
    <row r="139" spans="1:18" x14ac:dyDescent="0.25">
      <c r="A139" s="1" t="s">
        <v>313</v>
      </c>
      <c r="B139" t="s">
        <v>314</v>
      </c>
      <c r="C139" t="s">
        <v>22</v>
      </c>
      <c r="D139" t="s">
        <v>23</v>
      </c>
      <c r="E139" s="4">
        <v>45119</v>
      </c>
      <c r="F139" s="4">
        <v>45122</v>
      </c>
      <c r="G139" s="1">
        <v>4</v>
      </c>
      <c r="H139" s="1">
        <v>10</v>
      </c>
      <c r="I139" t="s">
        <v>40</v>
      </c>
      <c r="J139" t="s">
        <v>2141</v>
      </c>
      <c r="K139" t="s">
        <v>28</v>
      </c>
      <c r="L139" s="1" t="str">
        <f t="shared" si="12"/>
        <v>2023</v>
      </c>
      <c r="M139" t="str">
        <f t="shared" si="13"/>
        <v>Jul</v>
      </c>
      <c r="N139" t="str">
        <f t="shared" si="14"/>
        <v>Wed</v>
      </c>
      <c r="O139" s="1">
        <f t="shared" si="15"/>
        <v>3</v>
      </c>
      <c r="P139" s="1">
        <f t="shared" si="16"/>
        <v>40</v>
      </c>
      <c r="Q139" s="1">
        <f>ROUND(G139*H139*VLOOKUP(D139,'Cost Product'!A$1:C$21,3,FALSE),0)</f>
        <v>26</v>
      </c>
      <c r="R139" s="1">
        <f t="shared" si="17"/>
        <v>14</v>
      </c>
    </row>
    <row r="140" spans="1:18" x14ac:dyDescent="0.25">
      <c r="A140" s="1" t="s">
        <v>315</v>
      </c>
      <c r="B140" t="s">
        <v>316</v>
      </c>
      <c r="C140" t="s">
        <v>22</v>
      </c>
      <c r="D140" t="s">
        <v>59</v>
      </c>
      <c r="E140" s="4">
        <v>45328</v>
      </c>
      <c r="F140" s="4">
        <v>45331</v>
      </c>
      <c r="G140" s="1">
        <v>3</v>
      </c>
      <c r="H140" s="1">
        <v>8.5</v>
      </c>
      <c r="I140" t="s">
        <v>13</v>
      </c>
      <c r="J140" t="s">
        <v>2142</v>
      </c>
      <c r="K140" t="s">
        <v>28</v>
      </c>
      <c r="L140" s="1" t="str">
        <f t="shared" si="12"/>
        <v>2024</v>
      </c>
      <c r="M140" t="str">
        <f t="shared" si="13"/>
        <v>Feb</v>
      </c>
      <c r="N140" t="str">
        <f t="shared" si="14"/>
        <v>Tue</v>
      </c>
      <c r="O140" s="1">
        <f t="shared" si="15"/>
        <v>3</v>
      </c>
      <c r="P140" s="1">
        <f t="shared" si="16"/>
        <v>25.5</v>
      </c>
      <c r="Q140" s="1">
        <f>ROUND(G140*H140*VLOOKUP(D140,'Cost Product'!A$1:C$21,3,FALSE),0)</f>
        <v>15</v>
      </c>
      <c r="R140" s="1">
        <f t="shared" si="17"/>
        <v>10.5</v>
      </c>
    </row>
    <row r="141" spans="1:18" x14ac:dyDescent="0.25">
      <c r="A141" s="1" t="s">
        <v>317</v>
      </c>
      <c r="B141" t="s">
        <v>318</v>
      </c>
      <c r="C141" t="s">
        <v>17</v>
      </c>
      <c r="D141" t="s">
        <v>50</v>
      </c>
      <c r="E141" s="4">
        <v>45331</v>
      </c>
      <c r="F141" s="4">
        <v>45333</v>
      </c>
      <c r="G141" s="1">
        <v>4</v>
      </c>
      <c r="H141" s="1">
        <v>5.25</v>
      </c>
      <c r="I141" t="s">
        <v>13</v>
      </c>
      <c r="J141" t="s">
        <v>2141</v>
      </c>
      <c r="K141" t="s">
        <v>28</v>
      </c>
      <c r="L141" s="1" t="str">
        <f t="shared" si="12"/>
        <v>2024</v>
      </c>
      <c r="M141" t="str">
        <f t="shared" si="13"/>
        <v>Feb</v>
      </c>
      <c r="N141" t="str">
        <f t="shared" si="14"/>
        <v>Fri</v>
      </c>
      <c r="O141" s="1">
        <f t="shared" si="15"/>
        <v>2</v>
      </c>
      <c r="P141" s="1">
        <f t="shared" si="16"/>
        <v>21</v>
      </c>
      <c r="Q141" s="1">
        <f>ROUND(G141*H141*VLOOKUP(D141,'Cost Product'!A$1:C$21,3,FALSE),0)</f>
        <v>12</v>
      </c>
      <c r="R141" s="1">
        <f t="shared" si="17"/>
        <v>9</v>
      </c>
    </row>
    <row r="142" spans="1:18" x14ac:dyDescent="0.25">
      <c r="A142" s="1" t="s">
        <v>319</v>
      </c>
      <c r="B142" t="s">
        <v>320</v>
      </c>
      <c r="C142" t="s">
        <v>11</v>
      </c>
      <c r="D142" t="s">
        <v>31</v>
      </c>
      <c r="E142" s="4">
        <v>45543</v>
      </c>
      <c r="F142" s="4">
        <v>45544</v>
      </c>
      <c r="G142" s="1">
        <v>5</v>
      </c>
      <c r="H142" s="1">
        <v>5.5</v>
      </c>
      <c r="I142" t="s">
        <v>13</v>
      </c>
      <c r="J142" t="s">
        <v>2142</v>
      </c>
      <c r="K142" t="s">
        <v>28</v>
      </c>
      <c r="L142" s="1" t="str">
        <f t="shared" si="12"/>
        <v>2024</v>
      </c>
      <c r="M142" t="str">
        <f t="shared" si="13"/>
        <v>Sep</v>
      </c>
      <c r="N142" t="str">
        <f t="shared" si="14"/>
        <v>Sun</v>
      </c>
      <c r="O142" s="1">
        <f t="shared" si="15"/>
        <v>1</v>
      </c>
      <c r="P142" s="1">
        <f t="shared" si="16"/>
        <v>27.5</v>
      </c>
      <c r="Q142" s="1">
        <f>ROUND(G142*H142*VLOOKUP(D142,'Cost Product'!A$1:C$21,3,FALSE),0)</f>
        <v>14</v>
      </c>
      <c r="R142" s="1">
        <f t="shared" si="17"/>
        <v>13.5</v>
      </c>
    </row>
    <row r="143" spans="1:18" x14ac:dyDescent="0.25">
      <c r="A143" s="1" t="s">
        <v>321</v>
      </c>
      <c r="B143" t="s">
        <v>322</v>
      </c>
      <c r="C143" t="s">
        <v>11</v>
      </c>
      <c r="D143" t="s">
        <v>31</v>
      </c>
      <c r="E143" s="4">
        <v>45554</v>
      </c>
      <c r="F143" s="4">
        <v>45555</v>
      </c>
      <c r="G143" s="1">
        <v>4</v>
      </c>
      <c r="H143" s="1">
        <v>5.5</v>
      </c>
      <c r="I143" t="s">
        <v>13</v>
      </c>
      <c r="J143" t="s">
        <v>2141</v>
      </c>
      <c r="K143" t="s">
        <v>28</v>
      </c>
      <c r="L143" s="1" t="str">
        <f t="shared" si="12"/>
        <v>2024</v>
      </c>
      <c r="M143" t="str">
        <f t="shared" si="13"/>
        <v>Sep</v>
      </c>
      <c r="N143" t="str">
        <f t="shared" si="14"/>
        <v>Thu</v>
      </c>
      <c r="O143" s="1">
        <f t="shared" si="15"/>
        <v>1</v>
      </c>
      <c r="P143" s="1">
        <f t="shared" si="16"/>
        <v>22</v>
      </c>
      <c r="Q143" s="1">
        <f>ROUND(G143*H143*VLOOKUP(D143,'Cost Product'!A$1:C$21,3,FALSE),0)</f>
        <v>11</v>
      </c>
      <c r="R143" s="1">
        <f t="shared" si="17"/>
        <v>11</v>
      </c>
    </row>
    <row r="144" spans="1:18" x14ac:dyDescent="0.25">
      <c r="A144" s="1" t="s">
        <v>323</v>
      </c>
      <c r="B144" t="s">
        <v>324</v>
      </c>
      <c r="C144" t="s">
        <v>11</v>
      </c>
      <c r="D144" t="s">
        <v>36</v>
      </c>
      <c r="E144" s="4">
        <v>45170</v>
      </c>
      <c r="F144" s="4">
        <v>45177</v>
      </c>
      <c r="G144" s="1">
        <v>4</v>
      </c>
      <c r="H144" s="1">
        <v>6.25</v>
      </c>
      <c r="I144" t="s">
        <v>13</v>
      </c>
      <c r="J144" t="s">
        <v>2146</v>
      </c>
      <c r="K144" t="s">
        <v>19</v>
      </c>
      <c r="L144" s="1" t="str">
        <f t="shared" si="12"/>
        <v>2023</v>
      </c>
      <c r="M144" t="str">
        <f t="shared" si="13"/>
        <v>Sep</v>
      </c>
      <c r="N144" t="str">
        <f t="shared" si="14"/>
        <v>Fri</v>
      </c>
      <c r="O144" s="1">
        <f t="shared" si="15"/>
        <v>7</v>
      </c>
      <c r="P144" s="1">
        <f t="shared" si="16"/>
        <v>25</v>
      </c>
      <c r="Q144" s="1">
        <f>ROUND(G144*H144*VLOOKUP(D144,'Cost Product'!A$1:C$21,3,FALSE),0)</f>
        <v>14</v>
      </c>
      <c r="R144" s="1">
        <f t="shared" si="17"/>
        <v>11</v>
      </c>
    </row>
    <row r="145" spans="1:18" x14ac:dyDescent="0.25">
      <c r="A145" s="1" t="s">
        <v>325</v>
      </c>
      <c r="B145" t="s">
        <v>326</v>
      </c>
      <c r="C145" t="s">
        <v>17</v>
      </c>
      <c r="D145" t="s">
        <v>18</v>
      </c>
      <c r="E145" s="4">
        <v>45522</v>
      </c>
      <c r="F145" s="4">
        <v>45523</v>
      </c>
      <c r="G145" s="1">
        <v>3</v>
      </c>
      <c r="H145" s="1">
        <v>5.5</v>
      </c>
      <c r="I145" t="s">
        <v>13</v>
      </c>
      <c r="J145" t="s">
        <v>2146</v>
      </c>
      <c r="K145" t="s">
        <v>28</v>
      </c>
      <c r="L145" s="1" t="str">
        <f t="shared" si="12"/>
        <v>2024</v>
      </c>
      <c r="M145" t="str">
        <f t="shared" si="13"/>
        <v>Aug</v>
      </c>
      <c r="N145" t="str">
        <f t="shared" si="14"/>
        <v>Sun</v>
      </c>
      <c r="O145" s="1">
        <f t="shared" si="15"/>
        <v>1</v>
      </c>
      <c r="P145" s="1">
        <f t="shared" si="16"/>
        <v>16.5</v>
      </c>
      <c r="Q145" s="1">
        <f>ROUND(G145*H145*VLOOKUP(D145,'Cost Product'!A$1:C$21,3,FALSE),0)</f>
        <v>10</v>
      </c>
      <c r="R145" s="1">
        <f t="shared" si="17"/>
        <v>6.5</v>
      </c>
    </row>
    <row r="146" spans="1:18" x14ac:dyDescent="0.25">
      <c r="A146" s="1" t="s">
        <v>327</v>
      </c>
      <c r="B146" t="s">
        <v>328</v>
      </c>
      <c r="C146" t="s">
        <v>26</v>
      </c>
      <c r="D146" t="s">
        <v>45</v>
      </c>
      <c r="E146" s="4">
        <v>45576</v>
      </c>
      <c r="F146" s="4">
        <v>45577</v>
      </c>
      <c r="G146" s="1">
        <v>4</v>
      </c>
      <c r="H146" s="1">
        <v>4.5</v>
      </c>
      <c r="I146" t="s">
        <v>13</v>
      </c>
      <c r="J146" t="s">
        <v>2142</v>
      </c>
      <c r="K146" t="s">
        <v>28</v>
      </c>
      <c r="L146" s="1" t="str">
        <f t="shared" si="12"/>
        <v>2024</v>
      </c>
      <c r="M146" t="str">
        <f t="shared" si="13"/>
        <v>Oct</v>
      </c>
      <c r="N146" t="str">
        <f t="shared" si="14"/>
        <v>Fri</v>
      </c>
      <c r="O146" s="1">
        <f t="shared" si="15"/>
        <v>1</v>
      </c>
      <c r="P146" s="1">
        <f t="shared" si="16"/>
        <v>18</v>
      </c>
      <c r="Q146" s="1">
        <f>ROUND(G146*H146*VLOOKUP(D146,'Cost Product'!A$1:C$21,3,FALSE),0)</f>
        <v>9</v>
      </c>
      <c r="R146" s="1">
        <f t="shared" si="17"/>
        <v>9</v>
      </c>
    </row>
    <row r="147" spans="1:18" x14ac:dyDescent="0.25">
      <c r="A147" s="1" t="s">
        <v>329</v>
      </c>
      <c r="B147" t="s">
        <v>330</v>
      </c>
      <c r="C147" t="s">
        <v>17</v>
      </c>
      <c r="D147" t="s">
        <v>50</v>
      </c>
      <c r="E147" s="4">
        <v>45149</v>
      </c>
      <c r="F147" s="4">
        <v>45150</v>
      </c>
      <c r="G147" s="1">
        <v>1</v>
      </c>
      <c r="H147" s="1">
        <v>5.25</v>
      </c>
      <c r="I147" t="s">
        <v>13</v>
      </c>
      <c r="J147" t="s">
        <v>2144</v>
      </c>
      <c r="K147" t="s">
        <v>19</v>
      </c>
      <c r="L147" s="1" t="str">
        <f t="shared" si="12"/>
        <v>2023</v>
      </c>
      <c r="M147" t="str">
        <f t="shared" si="13"/>
        <v>Aug</v>
      </c>
      <c r="N147" t="str">
        <f t="shared" si="14"/>
        <v>Fri</v>
      </c>
      <c r="O147" s="1">
        <f t="shared" si="15"/>
        <v>1</v>
      </c>
      <c r="P147" s="1">
        <f t="shared" si="16"/>
        <v>5.25</v>
      </c>
      <c r="Q147" s="1">
        <f>ROUND(G147*H147*VLOOKUP(D147,'Cost Product'!A$1:C$21,3,FALSE),0)</f>
        <v>3</v>
      </c>
      <c r="R147" s="1">
        <f t="shared" si="17"/>
        <v>2.25</v>
      </c>
    </row>
    <row r="148" spans="1:18" x14ac:dyDescent="0.25">
      <c r="A148" s="1" t="s">
        <v>331</v>
      </c>
      <c r="B148" t="s">
        <v>332</v>
      </c>
      <c r="C148" t="s">
        <v>17</v>
      </c>
      <c r="D148" t="s">
        <v>79</v>
      </c>
      <c r="E148" s="4">
        <v>45570</v>
      </c>
      <c r="F148" s="4">
        <v>45573</v>
      </c>
      <c r="G148" s="1">
        <v>1</v>
      </c>
      <c r="H148" s="1">
        <v>5</v>
      </c>
      <c r="I148" t="s">
        <v>13</v>
      </c>
      <c r="J148" t="s">
        <v>2144</v>
      </c>
      <c r="K148" t="s">
        <v>28</v>
      </c>
      <c r="L148" s="1" t="str">
        <f t="shared" si="12"/>
        <v>2024</v>
      </c>
      <c r="M148" t="str">
        <f t="shared" si="13"/>
        <v>Oct</v>
      </c>
      <c r="N148" t="str">
        <f t="shared" si="14"/>
        <v>Sat</v>
      </c>
      <c r="O148" s="1">
        <f t="shared" si="15"/>
        <v>3</v>
      </c>
      <c r="P148" s="1">
        <f t="shared" si="16"/>
        <v>5</v>
      </c>
      <c r="Q148" s="1">
        <f>ROUND(G148*H148*VLOOKUP(D148,'Cost Product'!A$1:C$21,3,FALSE),0)</f>
        <v>3</v>
      </c>
      <c r="R148" s="1">
        <f t="shared" si="17"/>
        <v>2</v>
      </c>
    </row>
    <row r="149" spans="1:18" x14ac:dyDescent="0.25">
      <c r="A149" s="1" t="s">
        <v>333</v>
      </c>
      <c r="B149" t="s">
        <v>334</v>
      </c>
      <c r="C149" t="s">
        <v>22</v>
      </c>
      <c r="D149" t="s">
        <v>62</v>
      </c>
      <c r="E149" s="4">
        <v>45137</v>
      </c>
      <c r="F149" s="4">
        <v>45138</v>
      </c>
      <c r="G149" s="1">
        <v>3</v>
      </c>
      <c r="H149" s="1">
        <v>8</v>
      </c>
      <c r="I149" t="s">
        <v>13</v>
      </c>
      <c r="J149" t="s">
        <v>2145</v>
      </c>
      <c r="K149" t="s">
        <v>19</v>
      </c>
      <c r="L149" s="1" t="str">
        <f t="shared" si="12"/>
        <v>2023</v>
      </c>
      <c r="M149" t="str">
        <f t="shared" si="13"/>
        <v>Jul</v>
      </c>
      <c r="N149" t="str">
        <f t="shared" si="14"/>
        <v>Sun</v>
      </c>
      <c r="O149" s="1">
        <f t="shared" si="15"/>
        <v>1</v>
      </c>
      <c r="P149" s="1">
        <f t="shared" si="16"/>
        <v>24</v>
      </c>
      <c r="Q149" s="1">
        <f>ROUND(G149*H149*VLOOKUP(D149,'Cost Product'!A$1:C$21,3,FALSE),0)</f>
        <v>14</v>
      </c>
      <c r="R149" s="1">
        <f t="shared" si="17"/>
        <v>10</v>
      </c>
    </row>
    <row r="150" spans="1:18" x14ac:dyDescent="0.25">
      <c r="A150" s="1" t="s">
        <v>335</v>
      </c>
      <c r="B150" t="s">
        <v>336</v>
      </c>
      <c r="C150" t="s">
        <v>11</v>
      </c>
      <c r="D150" t="s">
        <v>39</v>
      </c>
      <c r="E150" s="4">
        <v>45459</v>
      </c>
      <c r="F150" s="4">
        <v>45466</v>
      </c>
      <c r="G150" s="1">
        <v>2</v>
      </c>
      <c r="H150" s="1">
        <v>5.75</v>
      </c>
      <c r="I150" t="s">
        <v>13</v>
      </c>
      <c r="J150" t="s">
        <v>2142</v>
      </c>
      <c r="K150" t="s">
        <v>28</v>
      </c>
      <c r="L150" s="1" t="str">
        <f t="shared" si="12"/>
        <v>2024</v>
      </c>
      <c r="M150" t="str">
        <f t="shared" si="13"/>
        <v>Jun</v>
      </c>
      <c r="N150" t="str">
        <f t="shared" si="14"/>
        <v>Sun</v>
      </c>
      <c r="O150" s="1">
        <f t="shared" si="15"/>
        <v>7</v>
      </c>
      <c r="P150" s="1">
        <f t="shared" si="16"/>
        <v>11.5</v>
      </c>
      <c r="Q150" s="1">
        <f>ROUND(G150*H150*VLOOKUP(D150,'Cost Product'!A$1:C$21,3,FALSE),0)</f>
        <v>6</v>
      </c>
      <c r="R150" s="1">
        <f t="shared" si="17"/>
        <v>5.5</v>
      </c>
    </row>
    <row r="151" spans="1:18" x14ac:dyDescent="0.25">
      <c r="A151" s="1" t="s">
        <v>337</v>
      </c>
      <c r="B151" t="s">
        <v>338</v>
      </c>
      <c r="C151" t="s">
        <v>26</v>
      </c>
      <c r="D151" t="s">
        <v>104</v>
      </c>
      <c r="E151" s="4">
        <v>45123</v>
      </c>
      <c r="F151" s="4">
        <v>45126</v>
      </c>
      <c r="G151" s="1">
        <v>1</v>
      </c>
      <c r="H151" s="1">
        <v>4.5</v>
      </c>
      <c r="I151" t="s">
        <v>13</v>
      </c>
      <c r="J151" t="s">
        <v>2142</v>
      </c>
      <c r="K151" t="s">
        <v>28</v>
      </c>
      <c r="L151" s="1" t="str">
        <f t="shared" si="12"/>
        <v>2023</v>
      </c>
      <c r="M151" t="str">
        <f t="shared" si="13"/>
        <v>Jul</v>
      </c>
      <c r="N151" t="str">
        <f t="shared" si="14"/>
        <v>Sun</v>
      </c>
      <c r="O151" s="1">
        <f t="shared" si="15"/>
        <v>3</v>
      </c>
      <c r="P151" s="1">
        <f t="shared" si="16"/>
        <v>4.5</v>
      </c>
      <c r="Q151" s="1">
        <f>ROUND(G151*H151*VLOOKUP(D151,'Cost Product'!A$1:C$21,3,FALSE),0)</f>
        <v>2</v>
      </c>
      <c r="R151" s="1">
        <f t="shared" si="17"/>
        <v>2.5</v>
      </c>
    </row>
    <row r="152" spans="1:18" x14ac:dyDescent="0.25">
      <c r="A152" s="1" t="s">
        <v>339</v>
      </c>
      <c r="B152" t="s">
        <v>340</v>
      </c>
      <c r="C152" t="s">
        <v>11</v>
      </c>
      <c r="D152" t="s">
        <v>39</v>
      </c>
      <c r="E152" s="4">
        <v>45528</v>
      </c>
      <c r="F152" s="4">
        <v>45534</v>
      </c>
      <c r="G152" s="1">
        <v>5</v>
      </c>
      <c r="H152" s="1">
        <v>5.75</v>
      </c>
      <c r="I152" t="s">
        <v>13</v>
      </c>
      <c r="J152" t="s">
        <v>2143</v>
      </c>
      <c r="K152" t="s">
        <v>14</v>
      </c>
      <c r="L152" s="1" t="str">
        <f t="shared" si="12"/>
        <v>2024</v>
      </c>
      <c r="M152" t="str">
        <f t="shared" si="13"/>
        <v>Aug</v>
      </c>
      <c r="N152" t="str">
        <f t="shared" si="14"/>
        <v>Sat</v>
      </c>
      <c r="O152" s="1">
        <f t="shared" si="15"/>
        <v>6</v>
      </c>
      <c r="P152" s="1">
        <f t="shared" si="16"/>
        <v>28.75</v>
      </c>
      <c r="Q152" s="1">
        <f>ROUND(G152*H152*VLOOKUP(D152,'Cost Product'!A$1:C$21,3,FALSE),0)</f>
        <v>14</v>
      </c>
      <c r="R152" s="1">
        <f t="shared" si="17"/>
        <v>14.75</v>
      </c>
    </row>
    <row r="153" spans="1:18" x14ac:dyDescent="0.25">
      <c r="A153" s="1" t="s">
        <v>341</v>
      </c>
      <c r="B153" t="s">
        <v>342</v>
      </c>
      <c r="C153" t="s">
        <v>26</v>
      </c>
      <c r="D153" t="s">
        <v>82</v>
      </c>
      <c r="E153" s="4">
        <v>45239</v>
      </c>
      <c r="F153" s="4">
        <v>45240</v>
      </c>
      <c r="G153" s="1">
        <v>2</v>
      </c>
      <c r="H153" s="1">
        <v>4.25</v>
      </c>
      <c r="I153" t="s">
        <v>13</v>
      </c>
      <c r="J153" t="s">
        <v>2143</v>
      </c>
      <c r="K153" t="s">
        <v>28</v>
      </c>
      <c r="L153" s="1" t="str">
        <f t="shared" si="12"/>
        <v>2023</v>
      </c>
      <c r="M153" t="str">
        <f t="shared" si="13"/>
        <v>Nov</v>
      </c>
      <c r="N153" t="str">
        <f t="shared" si="14"/>
        <v>Thu</v>
      </c>
      <c r="O153" s="1">
        <f t="shared" si="15"/>
        <v>1</v>
      </c>
      <c r="P153" s="1">
        <f t="shared" si="16"/>
        <v>8.5</v>
      </c>
      <c r="Q153" s="1">
        <f>ROUND(G153*H153*VLOOKUP(D153,'Cost Product'!A$1:C$21,3,FALSE),0)</f>
        <v>4</v>
      </c>
      <c r="R153" s="1">
        <f t="shared" si="17"/>
        <v>4.5</v>
      </c>
    </row>
    <row r="154" spans="1:18" x14ac:dyDescent="0.25">
      <c r="A154" s="1" t="s">
        <v>343</v>
      </c>
      <c r="B154" t="s">
        <v>344</v>
      </c>
      <c r="C154" t="s">
        <v>11</v>
      </c>
      <c r="D154" t="s">
        <v>39</v>
      </c>
      <c r="E154" s="4">
        <v>45135</v>
      </c>
      <c r="F154" s="4">
        <v>45139</v>
      </c>
      <c r="G154" s="1">
        <v>4</v>
      </c>
      <c r="H154" s="1">
        <v>5.75</v>
      </c>
      <c r="I154" t="s">
        <v>13</v>
      </c>
      <c r="J154" t="s">
        <v>2141</v>
      </c>
      <c r="K154" t="s">
        <v>28</v>
      </c>
      <c r="L154" s="1" t="str">
        <f t="shared" si="12"/>
        <v>2023</v>
      </c>
      <c r="M154" t="str">
        <f t="shared" si="13"/>
        <v>Jul</v>
      </c>
      <c r="N154" t="str">
        <f t="shared" si="14"/>
        <v>Fri</v>
      </c>
      <c r="O154" s="1">
        <f t="shared" si="15"/>
        <v>4</v>
      </c>
      <c r="P154" s="1">
        <f t="shared" si="16"/>
        <v>23</v>
      </c>
      <c r="Q154" s="1">
        <f>ROUND(G154*H154*VLOOKUP(D154,'Cost Product'!A$1:C$21,3,FALSE),0)</f>
        <v>12</v>
      </c>
      <c r="R154" s="1">
        <f t="shared" si="17"/>
        <v>11</v>
      </c>
    </row>
    <row r="155" spans="1:18" x14ac:dyDescent="0.25">
      <c r="A155" s="1" t="s">
        <v>345</v>
      </c>
      <c r="B155" t="s">
        <v>346</v>
      </c>
      <c r="C155" t="s">
        <v>26</v>
      </c>
      <c r="D155" t="s">
        <v>104</v>
      </c>
      <c r="E155" s="4">
        <v>45496</v>
      </c>
      <c r="F155" s="4">
        <v>45497</v>
      </c>
      <c r="G155" s="1">
        <v>3</v>
      </c>
      <c r="H155" s="1">
        <v>4.5</v>
      </c>
      <c r="I155" t="s">
        <v>13</v>
      </c>
      <c r="J155" t="s">
        <v>2143</v>
      </c>
      <c r="K155" t="s">
        <v>28</v>
      </c>
      <c r="L155" s="1" t="str">
        <f t="shared" si="12"/>
        <v>2024</v>
      </c>
      <c r="M155" t="str">
        <f t="shared" si="13"/>
        <v>Jul</v>
      </c>
      <c r="N155" t="str">
        <f t="shared" si="14"/>
        <v>Tue</v>
      </c>
      <c r="O155" s="1">
        <f t="shared" si="15"/>
        <v>1</v>
      </c>
      <c r="P155" s="1">
        <f t="shared" si="16"/>
        <v>13.5</v>
      </c>
      <c r="Q155" s="1">
        <f>ROUND(G155*H155*VLOOKUP(D155,'Cost Product'!A$1:C$21,3,FALSE),0)</f>
        <v>7</v>
      </c>
      <c r="R155" s="1">
        <f t="shared" si="17"/>
        <v>6.5</v>
      </c>
    </row>
    <row r="156" spans="1:18" x14ac:dyDescent="0.25">
      <c r="A156" s="1" t="s">
        <v>347</v>
      </c>
      <c r="B156" t="s">
        <v>348</v>
      </c>
      <c r="C156" t="s">
        <v>22</v>
      </c>
      <c r="D156" t="s">
        <v>62</v>
      </c>
      <c r="E156" s="4">
        <v>45368</v>
      </c>
      <c r="F156" s="4">
        <v>45369</v>
      </c>
      <c r="G156" s="1">
        <v>3</v>
      </c>
      <c r="H156" s="1">
        <v>8</v>
      </c>
      <c r="I156" t="s">
        <v>13</v>
      </c>
      <c r="J156" t="s">
        <v>2141</v>
      </c>
      <c r="K156" t="s">
        <v>28</v>
      </c>
      <c r="L156" s="1" t="str">
        <f t="shared" si="12"/>
        <v>2024</v>
      </c>
      <c r="M156" t="str">
        <f t="shared" si="13"/>
        <v>Mar</v>
      </c>
      <c r="N156" t="str">
        <f t="shared" si="14"/>
        <v>Sun</v>
      </c>
      <c r="O156" s="1">
        <f t="shared" si="15"/>
        <v>1</v>
      </c>
      <c r="P156" s="1">
        <f t="shared" si="16"/>
        <v>24</v>
      </c>
      <c r="Q156" s="1">
        <f>ROUND(G156*H156*VLOOKUP(D156,'Cost Product'!A$1:C$21,3,FALSE),0)</f>
        <v>14</v>
      </c>
      <c r="R156" s="1">
        <f t="shared" si="17"/>
        <v>10</v>
      </c>
    </row>
    <row r="157" spans="1:18" x14ac:dyDescent="0.25">
      <c r="A157" s="1" t="s">
        <v>349</v>
      </c>
      <c r="B157" t="s">
        <v>350</v>
      </c>
      <c r="C157" t="s">
        <v>26</v>
      </c>
      <c r="D157" t="s">
        <v>82</v>
      </c>
      <c r="E157" s="4">
        <v>45292</v>
      </c>
      <c r="F157" s="4">
        <v>45306</v>
      </c>
      <c r="G157" s="1">
        <v>1</v>
      </c>
      <c r="H157" s="1">
        <v>4.25</v>
      </c>
      <c r="I157" t="s">
        <v>13</v>
      </c>
      <c r="J157" t="s">
        <v>2142</v>
      </c>
      <c r="K157" t="s">
        <v>19</v>
      </c>
      <c r="L157" s="1" t="str">
        <f t="shared" si="12"/>
        <v>2024</v>
      </c>
      <c r="M157" t="str">
        <f t="shared" si="13"/>
        <v>Jan</v>
      </c>
      <c r="N157" t="str">
        <f t="shared" si="14"/>
        <v>Mon</v>
      </c>
      <c r="O157" s="1">
        <f t="shared" si="15"/>
        <v>14</v>
      </c>
      <c r="P157" s="1">
        <f t="shared" si="16"/>
        <v>4.25</v>
      </c>
      <c r="Q157" s="1">
        <f>ROUND(G157*H157*VLOOKUP(D157,'Cost Product'!A$1:C$21,3,FALSE),0)</f>
        <v>2</v>
      </c>
      <c r="R157" s="1">
        <f t="shared" si="17"/>
        <v>2.25</v>
      </c>
    </row>
    <row r="158" spans="1:18" x14ac:dyDescent="0.25">
      <c r="A158" s="1" t="s">
        <v>351</v>
      </c>
      <c r="B158" t="s">
        <v>352</v>
      </c>
      <c r="C158" t="s">
        <v>11</v>
      </c>
      <c r="D158" t="s">
        <v>31</v>
      </c>
      <c r="E158" s="4">
        <v>45332</v>
      </c>
      <c r="F158" s="4">
        <v>45333</v>
      </c>
      <c r="G158" s="1">
        <v>1</v>
      </c>
      <c r="H158" s="1">
        <v>5.5</v>
      </c>
      <c r="I158" t="s">
        <v>13</v>
      </c>
      <c r="J158" t="s">
        <v>2141</v>
      </c>
      <c r="K158" t="s">
        <v>28</v>
      </c>
      <c r="L158" s="1" t="str">
        <f t="shared" si="12"/>
        <v>2024</v>
      </c>
      <c r="M158" t="str">
        <f t="shared" si="13"/>
        <v>Feb</v>
      </c>
      <c r="N158" t="str">
        <f t="shared" si="14"/>
        <v>Sat</v>
      </c>
      <c r="O158" s="1">
        <f t="shared" si="15"/>
        <v>1</v>
      </c>
      <c r="P158" s="1">
        <f t="shared" si="16"/>
        <v>5.5</v>
      </c>
      <c r="Q158" s="1">
        <f>ROUND(G158*H158*VLOOKUP(D158,'Cost Product'!A$1:C$21,3,FALSE),0)</f>
        <v>3</v>
      </c>
      <c r="R158" s="1">
        <f t="shared" si="17"/>
        <v>2.5</v>
      </c>
    </row>
    <row r="159" spans="1:18" x14ac:dyDescent="0.25">
      <c r="A159" s="1" t="s">
        <v>353</v>
      </c>
      <c r="B159" t="s">
        <v>354</v>
      </c>
      <c r="C159" t="s">
        <v>22</v>
      </c>
      <c r="D159" t="s">
        <v>59</v>
      </c>
      <c r="E159" s="4">
        <v>45252</v>
      </c>
      <c r="F159" s="4">
        <v>45258</v>
      </c>
      <c r="G159" s="1">
        <v>5</v>
      </c>
      <c r="H159" s="1">
        <v>8.5</v>
      </c>
      <c r="I159" t="s">
        <v>13</v>
      </c>
      <c r="J159" t="s">
        <v>2146</v>
      </c>
      <c r="K159" t="s">
        <v>28</v>
      </c>
      <c r="L159" s="1" t="str">
        <f t="shared" si="12"/>
        <v>2023</v>
      </c>
      <c r="M159" t="str">
        <f t="shared" si="13"/>
        <v>Nov</v>
      </c>
      <c r="N159" t="str">
        <f t="shared" si="14"/>
        <v>Wed</v>
      </c>
      <c r="O159" s="1">
        <f t="shared" si="15"/>
        <v>6</v>
      </c>
      <c r="P159" s="1">
        <f t="shared" si="16"/>
        <v>42.5</v>
      </c>
      <c r="Q159" s="1">
        <f>ROUND(G159*H159*VLOOKUP(D159,'Cost Product'!A$1:C$21,3,FALSE),0)</f>
        <v>26</v>
      </c>
      <c r="R159" s="1">
        <f t="shared" si="17"/>
        <v>16.5</v>
      </c>
    </row>
    <row r="160" spans="1:18" x14ac:dyDescent="0.25">
      <c r="A160" s="1" t="s">
        <v>355</v>
      </c>
      <c r="B160" t="s">
        <v>356</v>
      </c>
      <c r="C160" t="s">
        <v>65</v>
      </c>
      <c r="D160" t="s">
        <v>99</v>
      </c>
      <c r="E160" s="4">
        <v>45292</v>
      </c>
      <c r="F160" s="4">
        <v>45297</v>
      </c>
      <c r="G160" s="1">
        <v>5</v>
      </c>
      <c r="H160" s="1">
        <v>4</v>
      </c>
      <c r="I160" t="s">
        <v>13</v>
      </c>
      <c r="J160" t="s">
        <v>2141</v>
      </c>
      <c r="K160" t="s">
        <v>19</v>
      </c>
      <c r="L160" s="1" t="str">
        <f t="shared" si="12"/>
        <v>2024</v>
      </c>
      <c r="M160" t="str">
        <f t="shared" si="13"/>
        <v>Jan</v>
      </c>
      <c r="N160" t="str">
        <f t="shared" si="14"/>
        <v>Mon</v>
      </c>
      <c r="O160" s="1">
        <f t="shared" si="15"/>
        <v>5</v>
      </c>
      <c r="P160" s="1">
        <f t="shared" si="16"/>
        <v>20</v>
      </c>
      <c r="Q160" s="1">
        <f>ROUND(G160*H160*VLOOKUP(D160,'Cost Product'!A$1:C$21,3,FALSE),0)</f>
        <v>10</v>
      </c>
      <c r="R160" s="1">
        <f t="shared" si="17"/>
        <v>10</v>
      </c>
    </row>
    <row r="161" spans="1:18" x14ac:dyDescent="0.25">
      <c r="A161" s="1" t="s">
        <v>357</v>
      </c>
      <c r="B161" t="s">
        <v>358</v>
      </c>
      <c r="C161" t="s">
        <v>65</v>
      </c>
      <c r="D161" t="s">
        <v>120</v>
      </c>
      <c r="E161" s="4">
        <v>45141</v>
      </c>
      <c r="F161" s="4">
        <v>45142</v>
      </c>
      <c r="G161" s="1">
        <v>5</v>
      </c>
      <c r="H161" s="1">
        <v>3.75</v>
      </c>
      <c r="I161" t="s">
        <v>13</v>
      </c>
      <c r="J161" t="s">
        <v>2142</v>
      </c>
      <c r="K161" t="s">
        <v>28</v>
      </c>
      <c r="L161" s="1" t="str">
        <f t="shared" si="12"/>
        <v>2023</v>
      </c>
      <c r="M161" t="str">
        <f t="shared" si="13"/>
        <v>Aug</v>
      </c>
      <c r="N161" t="str">
        <f t="shared" si="14"/>
        <v>Thu</v>
      </c>
      <c r="O161" s="1">
        <f t="shared" si="15"/>
        <v>1</v>
      </c>
      <c r="P161" s="1">
        <f t="shared" si="16"/>
        <v>18.75</v>
      </c>
      <c r="Q161" s="1">
        <f>ROUND(G161*H161*VLOOKUP(D161,'Cost Product'!A$1:C$21,3,FALSE),0)</f>
        <v>9</v>
      </c>
      <c r="R161" s="1">
        <f t="shared" si="17"/>
        <v>9.75</v>
      </c>
    </row>
    <row r="162" spans="1:18" x14ac:dyDescent="0.25">
      <c r="A162" s="1" t="s">
        <v>359</v>
      </c>
      <c r="B162" t="s">
        <v>360</v>
      </c>
      <c r="C162" t="s">
        <v>11</v>
      </c>
      <c r="D162" t="s">
        <v>31</v>
      </c>
      <c r="E162" s="4">
        <v>45524</v>
      </c>
      <c r="F162" s="4">
        <v>45533</v>
      </c>
      <c r="G162" s="1">
        <v>1</v>
      </c>
      <c r="H162" s="1">
        <v>5.5</v>
      </c>
      <c r="I162" t="s">
        <v>13</v>
      </c>
      <c r="J162" t="s">
        <v>2141</v>
      </c>
      <c r="K162" t="s">
        <v>28</v>
      </c>
      <c r="L162" s="1" t="str">
        <f t="shared" si="12"/>
        <v>2024</v>
      </c>
      <c r="M162" t="str">
        <f t="shared" si="13"/>
        <v>Aug</v>
      </c>
      <c r="N162" t="str">
        <f t="shared" si="14"/>
        <v>Tue</v>
      </c>
      <c r="O162" s="1">
        <f t="shared" si="15"/>
        <v>9</v>
      </c>
      <c r="P162" s="1">
        <f t="shared" si="16"/>
        <v>5.5</v>
      </c>
      <c r="Q162" s="1">
        <f>ROUND(G162*H162*VLOOKUP(D162,'Cost Product'!A$1:C$21,3,FALSE),0)</f>
        <v>3</v>
      </c>
      <c r="R162" s="1">
        <f t="shared" si="17"/>
        <v>2.5</v>
      </c>
    </row>
    <row r="163" spans="1:18" x14ac:dyDescent="0.25">
      <c r="A163" s="1" t="s">
        <v>361</v>
      </c>
      <c r="B163" t="s">
        <v>362</v>
      </c>
      <c r="C163" t="s">
        <v>65</v>
      </c>
      <c r="D163" t="s">
        <v>115</v>
      </c>
      <c r="E163" s="4">
        <v>45335</v>
      </c>
      <c r="F163" s="4">
        <v>45340</v>
      </c>
      <c r="G163" s="1">
        <v>2</v>
      </c>
      <c r="H163" s="1">
        <v>3</v>
      </c>
      <c r="I163" t="s">
        <v>13</v>
      </c>
      <c r="J163" t="s">
        <v>2142</v>
      </c>
      <c r="K163" t="s">
        <v>19</v>
      </c>
      <c r="L163" s="1" t="str">
        <f t="shared" si="12"/>
        <v>2024</v>
      </c>
      <c r="M163" t="str">
        <f t="shared" si="13"/>
        <v>Feb</v>
      </c>
      <c r="N163" t="str">
        <f t="shared" si="14"/>
        <v>Tue</v>
      </c>
      <c r="O163" s="1">
        <f t="shared" si="15"/>
        <v>5</v>
      </c>
      <c r="P163" s="1">
        <f t="shared" si="16"/>
        <v>6</v>
      </c>
      <c r="Q163" s="1">
        <f>ROUND(G163*H163*VLOOKUP(D163,'Cost Product'!A$1:C$21,3,FALSE),0)</f>
        <v>3</v>
      </c>
      <c r="R163" s="1">
        <f t="shared" si="17"/>
        <v>3</v>
      </c>
    </row>
    <row r="164" spans="1:18" x14ac:dyDescent="0.25">
      <c r="A164" s="1" t="s">
        <v>363</v>
      </c>
      <c r="B164" t="s">
        <v>364</v>
      </c>
      <c r="C164" t="s">
        <v>17</v>
      </c>
      <c r="D164" t="s">
        <v>50</v>
      </c>
      <c r="E164" s="4">
        <v>45222</v>
      </c>
      <c r="F164" s="4">
        <v>45232</v>
      </c>
      <c r="G164" s="1">
        <v>5</v>
      </c>
      <c r="H164" s="1">
        <v>5.25</v>
      </c>
      <c r="I164" t="s">
        <v>13</v>
      </c>
      <c r="J164" t="s">
        <v>2144</v>
      </c>
      <c r="K164" t="s">
        <v>19</v>
      </c>
      <c r="L164" s="1" t="str">
        <f t="shared" si="12"/>
        <v>2023</v>
      </c>
      <c r="M164" t="str">
        <f t="shared" si="13"/>
        <v>Oct</v>
      </c>
      <c r="N164" t="str">
        <f t="shared" si="14"/>
        <v>Mon</v>
      </c>
      <c r="O164" s="1">
        <f t="shared" si="15"/>
        <v>10</v>
      </c>
      <c r="P164" s="1">
        <f t="shared" si="16"/>
        <v>26.25</v>
      </c>
      <c r="Q164" s="1">
        <f>ROUND(G164*H164*VLOOKUP(D164,'Cost Product'!A$1:C$21,3,FALSE),0)</f>
        <v>15</v>
      </c>
      <c r="R164" s="1">
        <f t="shared" si="17"/>
        <v>11.25</v>
      </c>
    </row>
    <row r="165" spans="1:18" x14ac:dyDescent="0.25">
      <c r="A165" s="1" t="s">
        <v>365</v>
      </c>
      <c r="B165" t="s">
        <v>366</v>
      </c>
      <c r="C165" t="s">
        <v>22</v>
      </c>
      <c r="D165" t="s">
        <v>62</v>
      </c>
      <c r="E165" s="4">
        <v>45195</v>
      </c>
      <c r="F165" s="4">
        <v>45201</v>
      </c>
      <c r="G165" s="1">
        <v>5</v>
      </c>
      <c r="H165" s="1">
        <v>8</v>
      </c>
      <c r="I165" t="s">
        <v>13</v>
      </c>
      <c r="J165" t="s">
        <v>2141</v>
      </c>
      <c r="K165" t="s">
        <v>14</v>
      </c>
      <c r="L165" s="1" t="str">
        <f t="shared" si="12"/>
        <v>2023</v>
      </c>
      <c r="M165" t="str">
        <f t="shared" si="13"/>
        <v>Sep</v>
      </c>
      <c r="N165" t="str">
        <f t="shared" si="14"/>
        <v>Tue</v>
      </c>
      <c r="O165" s="1">
        <f t="shared" si="15"/>
        <v>6</v>
      </c>
      <c r="P165" s="1">
        <f t="shared" si="16"/>
        <v>40</v>
      </c>
      <c r="Q165" s="1">
        <f>ROUND(G165*H165*VLOOKUP(D165,'Cost Product'!A$1:C$21,3,FALSE),0)</f>
        <v>23</v>
      </c>
      <c r="R165" s="1">
        <f t="shared" si="17"/>
        <v>17</v>
      </c>
    </row>
    <row r="166" spans="1:18" x14ac:dyDescent="0.25">
      <c r="A166" s="1" t="s">
        <v>367</v>
      </c>
      <c r="B166" t="s">
        <v>368</v>
      </c>
      <c r="C166" t="s">
        <v>26</v>
      </c>
      <c r="D166" t="s">
        <v>27</v>
      </c>
      <c r="E166" s="4">
        <v>45549</v>
      </c>
      <c r="F166" s="4">
        <v>45550</v>
      </c>
      <c r="G166" s="1">
        <v>2</v>
      </c>
      <c r="H166" s="1">
        <v>4.75</v>
      </c>
      <c r="I166" t="s">
        <v>13</v>
      </c>
      <c r="J166" t="s">
        <v>2144</v>
      </c>
      <c r="K166" t="s">
        <v>28</v>
      </c>
      <c r="L166" s="1" t="str">
        <f t="shared" si="12"/>
        <v>2024</v>
      </c>
      <c r="M166" t="str">
        <f t="shared" si="13"/>
        <v>Sep</v>
      </c>
      <c r="N166" t="str">
        <f t="shared" si="14"/>
        <v>Sat</v>
      </c>
      <c r="O166" s="1">
        <f t="shared" si="15"/>
        <v>1</v>
      </c>
      <c r="P166" s="1">
        <f t="shared" si="16"/>
        <v>9.5</v>
      </c>
      <c r="Q166" s="1">
        <f>ROUND(G166*H166*VLOOKUP(D166,'Cost Product'!A$1:C$21,3,FALSE),0)</f>
        <v>5</v>
      </c>
      <c r="R166" s="1">
        <f t="shared" si="17"/>
        <v>4.5</v>
      </c>
    </row>
    <row r="167" spans="1:18" x14ac:dyDescent="0.25">
      <c r="A167" s="1" t="s">
        <v>369</v>
      </c>
      <c r="B167" t="s">
        <v>370</v>
      </c>
      <c r="C167" t="s">
        <v>65</v>
      </c>
      <c r="D167" t="s">
        <v>99</v>
      </c>
      <c r="E167" s="4">
        <v>45361</v>
      </c>
      <c r="F167" s="4">
        <v>45365</v>
      </c>
      <c r="G167" s="1">
        <v>5</v>
      </c>
      <c r="H167" s="1">
        <v>4</v>
      </c>
      <c r="I167" t="s">
        <v>13</v>
      </c>
      <c r="J167" t="s">
        <v>2144</v>
      </c>
      <c r="K167" t="s">
        <v>14</v>
      </c>
      <c r="L167" s="1" t="str">
        <f t="shared" si="12"/>
        <v>2024</v>
      </c>
      <c r="M167" t="str">
        <f t="shared" si="13"/>
        <v>Mar</v>
      </c>
      <c r="N167" t="str">
        <f t="shared" si="14"/>
        <v>Sun</v>
      </c>
      <c r="O167" s="1">
        <f t="shared" si="15"/>
        <v>4</v>
      </c>
      <c r="P167" s="1">
        <f t="shared" si="16"/>
        <v>20</v>
      </c>
      <c r="Q167" s="1">
        <f>ROUND(G167*H167*VLOOKUP(D167,'Cost Product'!A$1:C$21,3,FALSE),0)</f>
        <v>10</v>
      </c>
      <c r="R167" s="1">
        <f t="shared" si="17"/>
        <v>10</v>
      </c>
    </row>
    <row r="168" spans="1:18" x14ac:dyDescent="0.25">
      <c r="A168" s="1" t="s">
        <v>371</v>
      </c>
      <c r="B168" t="s">
        <v>372</v>
      </c>
      <c r="C168" t="s">
        <v>17</v>
      </c>
      <c r="D168" t="s">
        <v>53</v>
      </c>
      <c r="E168" s="4">
        <v>45513</v>
      </c>
      <c r="F168" s="4">
        <v>45515</v>
      </c>
      <c r="G168" s="1">
        <v>3</v>
      </c>
      <c r="H168" s="1">
        <v>4.75</v>
      </c>
      <c r="I168" t="s">
        <v>13</v>
      </c>
      <c r="J168" t="s">
        <v>2145</v>
      </c>
      <c r="K168" t="s">
        <v>28</v>
      </c>
      <c r="L168" s="1" t="str">
        <f t="shared" si="12"/>
        <v>2024</v>
      </c>
      <c r="M168" t="str">
        <f t="shared" si="13"/>
        <v>Aug</v>
      </c>
      <c r="N168" t="str">
        <f t="shared" si="14"/>
        <v>Fri</v>
      </c>
      <c r="O168" s="1">
        <f t="shared" si="15"/>
        <v>2</v>
      </c>
      <c r="P168" s="1">
        <f t="shared" si="16"/>
        <v>14.25</v>
      </c>
      <c r="Q168" s="1">
        <f>ROUND(G168*H168*VLOOKUP(D168,'Cost Product'!A$1:C$21,3,FALSE),0)</f>
        <v>8</v>
      </c>
      <c r="R168" s="1">
        <f t="shared" si="17"/>
        <v>6.25</v>
      </c>
    </row>
    <row r="169" spans="1:18" x14ac:dyDescent="0.25">
      <c r="A169" s="1" t="s">
        <v>373</v>
      </c>
      <c r="B169" t="s">
        <v>374</v>
      </c>
      <c r="C169" t="s">
        <v>65</v>
      </c>
      <c r="D169" t="s">
        <v>115</v>
      </c>
      <c r="E169" s="4">
        <v>45165</v>
      </c>
      <c r="F169" s="4">
        <v>45168</v>
      </c>
      <c r="G169" s="1">
        <v>2</v>
      </c>
      <c r="H169" s="1">
        <v>3</v>
      </c>
      <c r="I169" t="s">
        <v>13</v>
      </c>
      <c r="J169" t="s">
        <v>2144</v>
      </c>
      <c r="K169" t="s">
        <v>19</v>
      </c>
      <c r="L169" s="1" t="str">
        <f t="shared" si="12"/>
        <v>2023</v>
      </c>
      <c r="M169" t="str">
        <f t="shared" si="13"/>
        <v>Aug</v>
      </c>
      <c r="N169" t="str">
        <f t="shared" si="14"/>
        <v>Sun</v>
      </c>
      <c r="O169" s="1">
        <f t="shared" si="15"/>
        <v>3</v>
      </c>
      <c r="P169" s="1">
        <f t="shared" si="16"/>
        <v>6</v>
      </c>
      <c r="Q169" s="1">
        <f>ROUND(G169*H169*VLOOKUP(D169,'Cost Product'!A$1:C$21,3,FALSE),0)</f>
        <v>3</v>
      </c>
      <c r="R169" s="1">
        <f t="shared" si="17"/>
        <v>3</v>
      </c>
    </row>
    <row r="170" spans="1:18" x14ac:dyDescent="0.25">
      <c r="A170" s="1" t="s">
        <v>375</v>
      </c>
      <c r="B170" t="s">
        <v>376</v>
      </c>
      <c r="C170" t="s">
        <v>65</v>
      </c>
      <c r="D170" t="s">
        <v>66</v>
      </c>
      <c r="E170" s="4">
        <v>45312</v>
      </c>
      <c r="F170" s="4">
        <v>45314</v>
      </c>
      <c r="G170" s="1">
        <v>4</v>
      </c>
      <c r="H170" s="1">
        <v>3.5</v>
      </c>
      <c r="I170" t="s">
        <v>13</v>
      </c>
      <c r="J170" t="s">
        <v>2142</v>
      </c>
      <c r="K170" t="s">
        <v>14</v>
      </c>
      <c r="L170" s="1" t="str">
        <f t="shared" si="12"/>
        <v>2024</v>
      </c>
      <c r="M170" t="str">
        <f t="shared" si="13"/>
        <v>Jan</v>
      </c>
      <c r="N170" t="str">
        <f t="shared" si="14"/>
        <v>Sun</v>
      </c>
      <c r="O170" s="1">
        <f t="shared" si="15"/>
        <v>2</v>
      </c>
      <c r="P170" s="1">
        <f t="shared" si="16"/>
        <v>14</v>
      </c>
      <c r="Q170" s="1">
        <f>ROUND(G170*H170*VLOOKUP(D170,'Cost Product'!A$1:C$21,3,FALSE),0)</f>
        <v>7</v>
      </c>
      <c r="R170" s="1">
        <f t="shared" si="17"/>
        <v>7</v>
      </c>
    </row>
    <row r="171" spans="1:18" x14ac:dyDescent="0.25">
      <c r="A171" s="1" t="s">
        <v>377</v>
      </c>
      <c r="B171" t="s">
        <v>378</v>
      </c>
      <c r="C171" t="s">
        <v>11</v>
      </c>
      <c r="D171" t="s">
        <v>39</v>
      </c>
      <c r="E171" s="4">
        <v>45240</v>
      </c>
      <c r="F171" s="4">
        <v>45246</v>
      </c>
      <c r="G171" s="1">
        <v>2</v>
      </c>
      <c r="H171" s="1">
        <v>5.75</v>
      </c>
      <c r="I171" t="s">
        <v>13</v>
      </c>
      <c r="J171" t="s">
        <v>2142</v>
      </c>
      <c r="K171" t="s">
        <v>28</v>
      </c>
      <c r="L171" s="1" t="str">
        <f t="shared" si="12"/>
        <v>2023</v>
      </c>
      <c r="M171" t="str">
        <f t="shared" si="13"/>
        <v>Nov</v>
      </c>
      <c r="N171" t="str">
        <f t="shared" si="14"/>
        <v>Fri</v>
      </c>
      <c r="O171" s="1">
        <f t="shared" si="15"/>
        <v>6</v>
      </c>
      <c r="P171" s="1">
        <f t="shared" si="16"/>
        <v>11.5</v>
      </c>
      <c r="Q171" s="1">
        <f>ROUND(G171*H171*VLOOKUP(D171,'Cost Product'!A$1:C$21,3,FALSE),0)</f>
        <v>6</v>
      </c>
      <c r="R171" s="1">
        <f t="shared" si="17"/>
        <v>5.5</v>
      </c>
    </row>
    <row r="172" spans="1:18" x14ac:dyDescent="0.25">
      <c r="A172" s="1" t="s">
        <v>379</v>
      </c>
      <c r="B172" t="s">
        <v>380</v>
      </c>
      <c r="C172" t="s">
        <v>26</v>
      </c>
      <c r="D172" t="s">
        <v>27</v>
      </c>
      <c r="E172" s="4">
        <v>45395</v>
      </c>
      <c r="F172" s="4">
        <v>45399</v>
      </c>
      <c r="G172" s="1">
        <v>2</v>
      </c>
      <c r="H172" s="1">
        <v>4.75</v>
      </c>
      <c r="I172" t="s">
        <v>40</v>
      </c>
      <c r="J172" t="s">
        <v>2141</v>
      </c>
      <c r="K172" t="s">
        <v>19</v>
      </c>
      <c r="L172" s="1" t="str">
        <f t="shared" si="12"/>
        <v>2024</v>
      </c>
      <c r="M172" t="str">
        <f t="shared" si="13"/>
        <v>Apr</v>
      </c>
      <c r="N172" t="str">
        <f t="shared" si="14"/>
        <v>Sat</v>
      </c>
      <c r="O172" s="1">
        <f t="shared" si="15"/>
        <v>4</v>
      </c>
      <c r="P172" s="1">
        <f t="shared" si="16"/>
        <v>9.5</v>
      </c>
      <c r="Q172" s="1">
        <f>ROUND(G172*H172*VLOOKUP(D172,'Cost Product'!A$1:C$21,3,FALSE),0)</f>
        <v>5</v>
      </c>
      <c r="R172" s="1">
        <f t="shared" si="17"/>
        <v>4.5</v>
      </c>
    </row>
    <row r="173" spans="1:18" x14ac:dyDescent="0.25">
      <c r="A173" s="1" t="s">
        <v>381</v>
      </c>
      <c r="B173" t="s">
        <v>382</v>
      </c>
      <c r="C173" t="s">
        <v>65</v>
      </c>
      <c r="D173" t="s">
        <v>120</v>
      </c>
      <c r="E173" s="4">
        <v>45138</v>
      </c>
      <c r="F173" s="4">
        <v>45140</v>
      </c>
      <c r="G173" s="1">
        <v>1</v>
      </c>
      <c r="H173" s="1">
        <v>3.75</v>
      </c>
      <c r="I173" t="s">
        <v>13</v>
      </c>
      <c r="J173" t="s">
        <v>2142</v>
      </c>
      <c r="K173" t="s">
        <v>19</v>
      </c>
      <c r="L173" s="1" t="str">
        <f t="shared" si="12"/>
        <v>2023</v>
      </c>
      <c r="M173" t="str">
        <f t="shared" si="13"/>
        <v>Jul</v>
      </c>
      <c r="N173" t="str">
        <f t="shared" si="14"/>
        <v>Mon</v>
      </c>
      <c r="O173" s="1">
        <f t="shared" si="15"/>
        <v>2</v>
      </c>
      <c r="P173" s="1">
        <f t="shared" si="16"/>
        <v>3.75</v>
      </c>
      <c r="Q173" s="1">
        <f>ROUND(G173*H173*VLOOKUP(D173,'Cost Product'!A$1:C$21,3,FALSE),0)</f>
        <v>2</v>
      </c>
      <c r="R173" s="1">
        <f t="shared" si="17"/>
        <v>1.75</v>
      </c>
    </row>
    <row r="174" spans="1:18" x14ac:dyDescent="0.25">
      <c r="A174" s="1" t="s">
        <v>383</v>
      </c>
      <c r="B174" t="s">
        <v>384</v>
      </c>
      <c r="C174" t="s">
        <v>22</v>
      </c>
      <c r="D174" t="s">
        <v>62</v>
      </c>
      <c r="E174" s="4">
        <v>45382</v>
      </c>
      <c r="F174" s="4">
        <v>45384</v>
      </c>
      <c r="G174" s="1">
        <v>5</v>
      </c>
      <c r="H174" s="1">
        <v>8</v>
      </c>
      <c r="I174" t="s">
        <v>13</v>
      </c>
      <c r="J174" t="s">
        <v>2144</v>
      </c>
      <c r="K174" t="s">
        <v>28</v>
      </c>
      <c r="L174" s="1" t="str">
        <f t="shared" si="12"/>
        <v>2024</v>
      </c>
      <c r="M174" t="str">
        <f t="shared" si="13"/>
        <v>Mar</v>
      </c>
      <c r="N174" t="str">
        <f t="shared" si="14"/>
        <v>Sun</v>
      </c>
      <c r="O174" s="1">
        <f t="shared" si="15"/>
        <v>2</v>
      </c>
      <c r="P174" s="1">
        <f t="shared" si="16"/>
        <v>40</v>
      </c>
      <c r="Q174" s="1">
        <f>ROUND(G174*H174*VLOOKUP(D174,'Cost Product'!A$1:C$21,3,FALSE),0)</f>
        <v>23</v>
      </c>
      <c r="R174" s="1">
        <f t="shared" si="17"/>
        <v>17</v>
      </c>
    </row>
    <row r="175" spans="1:18" x14ac:dyDescent="0.25">
      <c r="A175" s="1" t="s">
        <v>385</v>
      </c>
      <c r="B175" t="s">
        <v>386</v>
      </c>
      <c r="C175" t="s">
        <v>26</v>
      </c>
      <c r="D175" t="s">
        <v>104</v>
      </c>
      <c r="E175" s="4">
        <v>45541</v>
      </c>
      <c r="F175" s="4">
        <v>45549</v>
      </c>
      <c r="G175" s="1">
        <v>1</v>
      </c>
      <c r="H175" s="1">
        <v>4.5</v>
      </c>
      <c r="I175" t="s">
        <v>40</v>
      </c>
      <c r="J175" t="s">
        <v>2145</v>
      </c>
      <c r="K175" t="s">
        <v>19</v>
      </c>
      <c r="L175" s="1" t="str">
        <f t="shared" si="12"/>
        <v>2024</v>
      </c>
      <c r="M175" t="str">
        <f t="shared" si="13"/>
        <v>Sep</v>
      </c>
      <c r="N175" t="str">
        <f t="shared" si="14"/>
        <v>Fri</v>
      </c>
      <c r="O175" s="1">
        <f t="shared" si="15"/>
        <v>8</v>
      </c>
      <c r="P175" s="1">
        <f t="shared" si="16"/>
        <v>4.5</v>
      </c>
      <c r="Q175" s="1">
        <f>ROUND(G175*H175*VLOOKUP(D175,'Cost Product'!A$1:C$21,3,FALSE),0)</f>
        <v>2</v>
      </c>
      <c r="R175" s="1">
        <f t="shared" si="17"/>
        <v>2.5</v>
      </c>
    </row>
    <row r="176" spans="1:18" x14ac:dyDescent="0.25">
      <c r="A176" s="1" t="s">
        <v>387</v>
      </c>
      <c r="B176" t="s">
        <v>388</v>
      </c>
      <c r="C176" t="s">
        <v>65</v>
      </c>
      <c r="D176" t="s">
        <v>66</v>
      </c>
      <c r="E176" s="4">
        <v>45337</v>
      </c>
      <c r="F176" s="4">
        <v>45338</v>
      </c>
      <c r="G176" s="1">
        <v>5</v>
      </c>
      <c r="H176" s="1">
        <v>3.5</v>
      </c>
      <c r="I176" t="s">
        <v>13</v>
      </c>
      <c r="J176" t="s">
        <v>2141</v>
      </c>
      <c r="K176" t="s">
        <v>28</v>
      </c>
      <c r="L176" s="1" t="str">
        <f t="shared" si="12"/>
        <v>2024</v>
      </c>
      <c r="M176" t="str">
        <f t="shared" si="13"/>
        <v>Feb</v>
      </c>
      <c r="N176" t="str">
        <f t="shared" si="14"/>
        <v>Thu</v>
      </c>
      <c r="O176" s="1">
        <f t="shared" si="15"/>
        <v>1</v>
      </c>
      <c r="P176" s="1">
        <f t="shared" si="16"/>
        <v>17.5</v>
      </c>
      <c r="Q176" s="1">
        <f>ROUND(G176*H176*VLOOKUP(D176,'Cost Product'!A$1:C$21,3,FALSE),0)</f>
        <v>8</v>
      </c>
      <c r="R176" s="1">
        <f t="shared" si="17"/>
        <v>9.5</v>
      </c>
    </row>
    <row r="177" spans="1:18" x14ac:dyDescent="0.25">
      <c r="A177" s="1" t="s">
        <v>389</v>
      </c>
      <c r="B177" t="s">
        <v>390</v>
      </c>
      <c r="C177" t="s">
        <v>11</v>
      </c>
      <c r="D177" t="s">
        <v>31</v>
      </c>
      <c r="E177" s="4">
        <v>45450</v>
      </c>
      <c r="F177" s="4">
        <v>45451</v>
      </c>
      <c r="G177" s="1">
        <v>5</v>
      </c>
      <c r="H177" s="1">
        <v>5.5</v>
      </c>
      <c r="I177" t="s">
        <v>40</v>
      </c>
      <c r="J177" t="s">
        <v>2141</v>
      </c>
      <c r="K177" t="s">
        <v>19</v>
      </c>
      <c r="L177" s="1" t="str">
        <f t="shared" si="12"/>
        <v>2024</v>
      </c>
      <c r="M177" t="str">
        <f t="shared" si="13"/>
        <v>Jun</v>
      </c>
      <c r="N177" t="str">
        <f t="shared" si="14"/>
        <v>Fri</v>
      </c>
      <c r="O177" s="1">
        <f t="shared" si="15"/>
        <v>1</v>
      </c>
      <c r="P177" s="1">
        <f t="shared" si="16"/>
        <v>27.5</v>
      </c>
      <c r="Q177" s="1">
        <f>ROUND(G177*H177*VLOOKUP(D177,'Cost Product'!A$1:C$21,3,FALSE),0)</f>
        <v>14</v>
      </c>
      <c r="R177" s="1">
        <f t="shared" si="17"/>
        <v>13.5</v>
      </c>
    </row>
    <row r="178" spans="1:18" x14ac:dyDescent="0.25">
      <c r="A178" s="1" t="s">
        <v>391</v>
      </c>
      <c r="B178" t="s">
        <v>392</v>
      </c>
      <c r="C178" t="s">
        <v>26</v>
      </c>
      <c r="D178" t="s">
        <v>45</v>
      </c>
      <c r="E178" s="4">
        <v>45187</v>
      </c>
      <c r="F178" s="4">
        <v>45189</v>
      </c>
      <c r="G178" s="1">
        <v>4</v>
      </c>
      <c r="H178" s="1">
        <v>4.5</v>
      </c>
      <c r="I178" t="s">
        <v>40</v>
      </c>
      <c r="J178" t="s">
        <v>2142</v>
      </c>
      <c r="K178" t="s">
        <v>28</v>
      </c>
      <c r="L178" s="1" t="str">
        <f t="shared" si="12"/>
        <v>2023</v>
      </c>
      <c r="M178" t="str">
        <f t="shared" si="13"/>
        <v>Sep</v>
      </c>
      <c r="N178" t="str">
        <f t="shared" si="14"/>
        <v>Mon</v>
      </c>
      <c r="O178" s="1">
        <f t="shared" si="15"/>
        <v>2</v>
      </c>
      <c r="P178" s="1">
        <f t="shared" si="16"/>
        <v>18</v>
      </c>
      <c r="Q178" s="1">
        <f>ROUND(G178*H178*VLOOKUP(D178,'Cost Product'!A$1:C$21,3,FALSE),0)</f>
        <v>9</v>
      </c>
      <c r="R178" s="1">
        <f t="shared" si="17"/>
        <v>9</v>
      </c>
    </row>
    <row r="179" spans="1:18" x14ac:dyDescent="0.25">
      <c r="A179" s="1" t="s">
        <v>393</v>
      </c>
      <c r="B179" t="s">
        <v>394</v>
      </c>
      <c r="C179" t="s">
        <v>17</v>
      </c>
      <c r="D179" t="s">
        <v>18</v>
      </c>
      <c r="E179" s="4">
        <v>45425</v>
      </c>
      <c r="F179" s="4">
        <v>45432</v>
      </c>
      <c r="G179" s="1">
        <v>5</v>
      </c>
      <c r="H179" s="1">
        <v>5.5</v>
      </c>
      <c r="I179" t="s">
        <v>13</v>
      </c>
      <c r="J179" t="s">
        <v>2143</v>
      </c>
      <c r="K179" t="s">
        <v>14</v>
      </c>
      <c r="L179" s="1" t="str">
        <f t="shared" si="12"/>
        <v>2024</v>
      </c>
      <c r="M179" t="str">
        <f t="shared" si="13"/>
        <v>May</v>
      </c>
      <c r="N179" t="str">
        <f t="shared" si="14"/>
        <v>Mon</v>
      </c>
      <c r="O179" s="1">
        <f t="shared" si="15"/>
        <v>7</v>
      </c>
      <c r="P179" s="1">
        <f t="shared" si="16"/>
        <v>27.5</v>
      </c>
      <c r="Q179" s="1">
        <f>ROUND(G179*H179*VLOOKUP(D179,'Cost Product'!A$1:C$21,3,FALSE),0)</f>
        <v>17</v>
      </c>
      <c r="R179" s="1">
        <f t="shared" si="17"/>
        <v>10.5</v>
      </c>
    </row>
    <row r="180" spans="1:18" x14ac:dyDescent="0.25">
      <c r="A180" s="1" t="s">
        <v>395</v>
      </c>
      <c r="B180" t="s">
        <v>396</v>
      </c>
      <c r="C180" t="s">
        <v>22</v>
      </c>
      <c r="D180" t="s">
        <v>62</v>
      </c>
      <c r="E180" s="4">
        <v>45517</v>
      </c>
      <c r="F180" s="4">
        <v>45523</v>
      </c>
      <c r="G180" s="1">
        <v>1</v>
      </c>
      <c r="H180" s="1">
        <v>8</v>
      </c>
      <c r="I180" t="s">
        <v>40</v>
      </c>
      <c r="J180" t="s">
        <v>2142</v>
      </c>
      <c r="K180" t="s">
        <v>28</v>
      </c>
      <c r="L180" s="1" t="str">
        <f t="shared" si="12"/>
        <v>2024</v>
      </c>
      <c r="M180" t="str">
        <f t="shared" si="13"/>
        <v>Aug</v>
      </c>
      <c r="N180" t="str">
        <f t="shared" si="14"/>
        <v>Tue</v>
      </c>
      <c r="O180" s="1">
        <f t="shared" si="15"/>
        <v>6</v>
      </c>
      <c r="P180" s="1">
        <f t="shared" si="16"/>
        <v>8</v>
      </c>
      <c r="Q180" s="1">
        <f>ROUND(G180*H180*VLOOKUP(D180,'Cost Product'!A$1:C$21,3,FALSE),0)</f>
        <v>5</v>
      </c>
      <c r="R180" s="1">
        <f t="shared" si="17"/>
        <v>3</v>
      </c>
    </row>
    <row r="181" spans="1:18" x14ac:dyDescent="0.25">
      <c r="A181" s="1" t="s">
        <v>397</v>
      </c>
      <c r="B181" t="s">
        <v>398</v>
      </c>
      <c r="C181" t="s">
        <v>26</v>
      </c>
      <c r="D181" t="s">
        <v>45</v>
      </c>
      <c r="E181" s="4">
        <v>45229</v>
      </c>
      <c r="F181" s="4">
        <v>45231</v>
      </c>
      <c r="G181" s="1">
        <v>4</v>
      </c>
      <c r="H181" s="1">
        <v>4.5</v>
      </c>
      <c r="I181" t="s">
        <v>40</v>
      </c>
      <c r="J181" t="s">
        <v>2141</v>
      </c>
      <c r="K181" t="s">
        <v>28</v>
      </c>
      <c r="L181" s="1" t="str">
        <f t="shared" si="12"/>
        <v>2023</v>
      </c>
      <c r="M181" t="str">
        <f t="shared" si="13"/>
        <v>Oct</v>
      </c>
      <c r="N181" t="str">
        <f t="shared" si="14"/>
        <v>Mon</v>
      </c>
      <c r="O181" s="1">
        <f t="shared" si="15"/>
        <v>2</v>
      </c>
      <c r="P181" s="1">
        <f t="shared" si="16"/>
        <v>18</v>
      </c>
      <c r="Q181" s="1">
        <f>ROUND(G181*H181*VLOOKUP(D181,'Cost Product'!A$1:C$21,3,FALSE),0)</f>
        <v>9</v>
      </c>
      <c r="R181" s="1">
        <f t="shared" si="17"/>
        <v>9</v>
      </c>
    </row>
    <row r="182" spans="1:18" x14ac:dyDescent="0.25">
      <c r="A182" s="1" t="s">
        <v>399</v>
      </c>
      <c r="B182" t="s">
        <v>400</v>
      </c>
      <c r="C182" t="s">
        <v>11</v>
      </c>
      <c r="D182" t="s">
        <v>36</v>
      </c>
      <c r="E182" s="4">
        <v>45215</v>
      </c>
      <c r="F182" s="4">
        <v>45218</v>
      </c>
      <c r="G182" s="1">
        <v>5</v>
      </c>
      <c r="H182" s="1">
        <v>6.25</v>
      </c>
      <c r="I182" t="s">
        <v>13</v>
      </c>
      <c r="J182" t="s">
        <v>2141</v>
      </c>
      <c r="K182" t="s">
        <v>14</v>
      </c>
      <c r="L182" s="1" t="str">
        <f t="shared" si="12"/>
        <v>2023</v>
      </c>
      <c r="M182" t="str">
        <f t="shared" si="13"/>
        <v>Oct</v>
      </c>
      <c r="N182" t="str">
        <f t="shared" si="14"/>
        <v>Mon</v>
      </c>
      <c r="O182" s="1">
        <f t="shared" si="15"/>
        <v>3</v>
      </c>
      <c r="P182" s="1">
        <f t="shared" si="16"/>
        <v>31.25</v>
      </c>
      <c r="Q182" s="1">
        <f>ROUND(G182*H182*VLOOKUP(D182,'Cost Product'!A$1:C$21,3,FALSE),0)</f>
        <v>17</v>
      </c>
      <c r="R182" s="1">
        <f t="shared" si="17"/>
        <v>14.25</v>
      </c>
    </row>
    <row r="183" spans="1:18" x14ac:dyDescent="0.25">
      <c r="A183" s="1" t="s">
        <v>401</v>
      </c>
      <c r="B183" t="s">
        <v>402</v>
      </c>
      <c r="C183" t="s">
        <v>11</v>
      </c>
      <c r="D183" t="s">
        <v>12</v>
      </c>
      <c r="E183" s="4">
        <v>45554</v>
      </c>
      <c r="F183" s="4">
        <v>45558</v>
      </c>
      <c r="G183" s="1">
        <v>4</v>
      </c>
      <c r="H183" s="1">
        <v>6.5</v>
      </c>
      <c r="I183" t="s">
        <v>40</v>
      </c>
      <c r="J183" t="s">
        <v>2141</v>
      </c>
      <c r="K183" t="s">
        <v>28</v>
      </c>
      <c r="L183" s="1" t="str">
        <f t="shared" si="12"/>
        <v>2024</v>
      </c>
      <c r="M183" t="str">
        <f t="shared" si="13"/>
        <v>Sep</v>
      </c>
      <c r="N183" t="str">
        <f t="shared" si="14"/>
        <v>Thu</v>
      </c>
      <c r="O183" s="1">
        <f t="shared" si="15"/>
        <v>4</v>
      </c>
      <c r="P183" s="1">
        <f t="shared" si="16"/>
        <v>26</v>
      </c>
      <c r="Q183" s="1">
        <f>ROUND(G183*H183*VLOOKUP(D183,'Cost Product'!A$1:C$21,3,FALSE),0)</f>
        <v>15</v>
      </c>
      <c r="R183" s="1">
        <f t="shared" si="17"/>
        <v>11</v>
      </c>
    </row>
    <row r="184" spans="1:18" x14ac:dyDescent="0.25">
      <c r="A184" s="1" t="s">
        <v>403</v>
      </c>
      <c r="B184" t="s">
        <v>404</v>
      </c>
      <c r="C184" t="s">
        <v>65</v>
      </c>
      <c r="D184" t="s">
        <v>66</v>
      </c>
      <c r="E184" s="4">
        <v>45567</v>
      </c>
      <c r="F184" s="4">
        <v>45570</v>
      </c>
      <c r="G184" s="1">
        <v>2</v>
      </c>
      <c r="H184" s="1">
        <v>3.5</v>
      </c>
      <c r="I184" t="s">
        <v>13</v>
      </c>
      <c r="J184" t="s">
        <v>2142</v>
      </c>
      <c r="K184" t="s">
        <v>28</v>
      </c>
      <c r="L184" s="1" t="str">
        <f t="shared" si="12"/>
        <v>2024</v>
      </c>
      <c r="M184" t="str">
        <f t="shared" si="13"/>
        <v>Oct</v>
      </c>
      <c r="N184" t="str">
        <f t="shared" si="14"/>
        <v>Wed</v>
      </c>
      <c r="O184" s="1">
        <f t="shared" si="15"/>
        <v>3</v>
      </c>
      <c r="P184" s="1">
        <f t="shared" si="16"/>
        <v>7</v>
      </c>
      <c r="Q184" s="1">
        <f>ROUND(G184*H184*VLOOKUP(D184,'Cost Product'!A$1:C$21,3,FALSE),0)</f>
        <v>3</v>
      </c>
      <c r="R184" s="1">
        <f t="shared" si="17"/>
        <v>4</v>
      </c>
    </row>
    <row r="185" spans="1:18" x14ac:dyDescent="0.25">
      <c r="A185" s="1" t="s">
        <v>405</v>
      </c>
      <c r="B185" t="s">
        <v>406</v>
      </c>
      <c r="C185" t="s">
        <v>22</v>
      </c>
      <c r="D185" t="s">
        <v>56</v>
      </c>
      <c r="E185" s="4">
        <v>45496</v>
      </c>
      <c r="F185" s="4">
        <v>45497</v>
      </c>
      <c r="G185" s="1">
        <v>4</v>
      </c>
      <c r="H185" s="1">
        <v>8.75</v>
      </c>
      <c r="I185" t="s">
        <v>13</v>
      </c>
      <c r="J185" t="s">
        <v>2142</v>
      </c>
      <c r="K185" t="s">
        <v>28</v>
      </c>
      <c r="L185" s="1" t="str">
        <f t="shared" si="12"/>
        <v>2024</v>
      </c>
      <c r="M185" t="str">
        <f t="shared" si="13"/>
        <v>Jul</v>
      </c>
      <c r="N185" t="str">
        <f t="shared" si="14"/>
        <v>Tue</v>
      </c>
      <c r="O185" s="1">
        <f t="shared" si="15"/>
        <v>1</v>
      </c>
      <c r="P185" s="1">
        <f t="shared" si="16"/>
        <v>35</v>
      </c>
      <c r="Q185" s="1">
        <f>ROUND(G185*H185*VLOOKUP(D185,'Cost Product'!A$1:C$21,3,FALSE),0)</f>
        <v>20</v>
      </c>
      <c r="R185" s="1">
        <f t="shared" si="17"/>
        <v>15</v>
      </c>
    </row>
    <row r="186" spans="1:18" x14ac:dyDescent="0.25">
      <c r="A186" s="1" t="s">
        <v>407</v>
      </c>
      <c r="B186" t="s">
        <v>408</v>
      </c>
      <c r="C186" t="s">
        <v>17</v>
      </c>
      <c r="D186" t="s">
        <v>50</v>
      </c>
      <c r="E186" s="4">
        <v>45429</v>
      </c>
      <c r="F186" s="4">
        <v>45434</v>
      </c>
      <c r="G186" s="1">
        <v>1</v>
      </c>
      <c r="H186" s="1">
        <v>5.25</v>
      </c>
      <c r="I186" t="s">
        <v>13</v>
      </c>
      <c r="J186" t="s">
        <v>2145</v>
      </c>
      <c r="K186" t="s">
        <v>19</v>
      </c>
      <c r="L186" s="1" t="str">
        <f t="shared" si="12"/>
        <v>2024</v>
      </c>
      <c r="M186" t="str">
        <f t="shared" si="13"/>
        <v>May</v>
      </c>
      <c r="N186" t="str">
        <f t="shared" si="14"/>
        <v>Fri</v>
      </c>
      <c r="O186" s="1">
        <f t="shared" si="15"/>
        <v>5</v>
      </c>
      <c r="P186" s="1">
        <f t="shared" si="16"/>
        <v>5.25</v>
      </c>
      <c r="Q186" s="1">
        <f>ROUND(G186*H186*VLOOKUP(D186,'Cost Product'!A$1:C$21,3,FALSE),0)</f>
        <v>3</v>
      </c>
      <c r="R186" s="1">
        <f t="shared" si="17"/>
        <v>2.25</v>
      </c>
    </row>
    <row r="187" spans="1:18" x14ac:dyDescent="0.25">
      <c r="A187" s="1" t="s">
        <v>409</v>
      </c>
      <c r="B187" t="s">
        <v>410</v>
      </c>
      <c r="C187" t="s">
        <v>26</v>
      </c>
      <c r="D187" t="s">
        <v>104</v>
      </c>
      <c r="E187" s="4">
        <v>45480</v>
      </c>
      <c r="F187" s="4">
        <v>45483</v>
      </c>
      <c r="G187" s="1">
        <v>2</v>
      </c>
      <c r="H187" s="1">
        <v>4.5</v>
      </c>
      <c r="I187" t="s">
        <v>13</v>
      </c>
      <c r="J187" t="s">
        <v>2142</v>
      </c>
      <c r="K187" t="s">
        <v>28</v>
      </c>
      <c r="L187" s="1" t="str">
        <f t="shared" si="12"/>
        <v>2024</v>
      </c>
      <c r="M187" t="str">
        <f t="shared" si="13"/>
        <v>Jul</v>
      </c>
      <c r="N187" t="str">
        <f t="shared" si="14"/>
        <v>Sun</v>
      </c>
      <c r="O187" s="1">
        <f t="shared" si="15"/>
        <v>3</v>
      </c>
      <c r="P187" s="1">
        <f t="shared" si="16"/>
        <v>9</v>
      </c>
      <c r="Q187" s="1">
        <f>ROUND(G187*H187*VLOOKUP(D187,'Cost Product'!A$1:C$21,3,FALSE),0)</f>
        <v>5</v>
      </c>
      <c r="R187" s="1">
        <f t="shared" si="17"/>
        <v>4</v>
      </c>
    </row>
    <row r="188" spans="1:18" x14ac:dyDescent="0.25">
      <c r="A188" s="1" t="s">
        <v>411</v>
      </c>
      <c r="B188" t="s">
        <v>412</v>
      </c>
      <c r="C188" t="s">
        <v>22</v>
      </c>
      <c r="D188" t="s">
        <v>56</v>
      </c>
      <c r="E188" s="4">
        <v>45250</v>
      </c>
      <c r="F188" s="4">
        <v>45251</v>
      </c>
      <c r="G188" s="1">
        <v>5</v>
      </c>
      <c r="H188" s="1">
        <v>8.75</v>
      </c>
      <c r="I188" t="s">
        <v>13</v>
      </c>
      <c r="J188" t="s">
        <v>2141</v>
      </c>
      <c r="K188" t="s">
        <v>28</v>
      </c>
      <c r="L188" s="1" t="str">
        <f t="shared" si="12"/>
        <v>2023</v>
      </c>
      <c r="M188" t="str">
        <f t="shared" si="13"/>
        <v>Nov</v>
      </c>
      <c r="N188" t="str">
        <f t="shared" si="14"/>
        <v>Mon</v>
      </c>
      <c r="O188" s="1">
        <f t="shared" si="15"/>
        <v>1</v>
      </c>
      <c r="P188" s="1">
        <f t="shared" si="16"/>
        <v>43.75</v>
      </c>
      <c r="Q188" s="1">
        <f>ROUND(G188*H188*VLOOKUP(D188,'Cost Product'!A$1:C$21,3,FALSE),0)</f>
        <v>25</v>
      </c>
      <c r="R188" s="1">
        <f t="shared" si="17"/>
        <v>18.75</v>
      </c>
    </row>
    <row r="189" spans="1:18" x14ac:dyDescent="0.25">
      <c r="A189" s="1" t="s">
        <v>413</v>
      </c>
      <c r="B189" t="s">
        <v>414</v>
      </c>
      <c r="C189" t="s">
        <v>22</v>
      </c>
      <c r="D189" t="s">
        <v>59</v>
      </c>
      <c r="E189" s="4">
        <v>45479</v>
      </c>
      <c r="F189" s="4">
        <v>45483</v>
      </c>
      <c r="G189" s="1">
        <v>3</v>
      </c>
      <c r="H189" s="1">
        <v>8.5</v>
      </c>
      <c r="I189" t="s">
        <v>40</v>
      </c>
      <c r="J189" t="s">
        <v>2143</v>
      </c>
      <c r="K189" t="s">
        <v>28</v>
      </c>
      <c r="L189" s="1" t="str">
        <f t="shared" si="12"/>
        <v>2024</v>
      </c>
      <c r="M189" t="str">
        <f t="shared" si="13"/>
        <v>Jul</v>
      </c>
      <c r="N189" t="str">
        <f t="shared" si="14"/>
        <v>Sat</v>
      </c>
      <c r="O189" s="1">
        <f t="shared" si="15"/>
        <v>4</v>
      </c>
      <c r="P189" s="1">
        <f t="shared" si="16"/>
        <v>25.5</v>
      </c>
      <c r="Q189" s="1">
        <f>ROUND(G189*H189*VLOOKUP(D189,'Cost Product'!A$1:C$21,3,FALSE),0)</f>
        <v>15</v>
      </c>
      <c r="R189" s="1">
        <f t="shared" si="17"/>
        <v>10.5</v>
      </c>
    </row>
    <row r="190" spans="1:18" x14ac:dyDescent="0.25">
      <c r="A190" s="1" t="s">
        <v>415</v>
      </c>
      <c r="B190" t="s">
        <v>416</v>
      </c>
      <c r="C190" t="s">
        <v>22</v>
      </c>
      <c r="D190" t="s">
        <v>59</v>
      </c>
      <c r="E190" s="4">
        <v>45148</v>
      </c>
      <c r="F190" s="4">
        <v>45151</v>
      </c>
      <c r="G190" s="1">
        <v>5</v>
      </c>
      <c r="H190" s="1">
        <v>8.5</v>
      </c>
      <c r="I190" t="s">
        <v>13</v>
      </c>
      <c r="J190" t="s">
        <v>2142</v>
      </c>
      <c r="K190" t="s">
        <v>28</v>
      </c>
      <c r="L190" s="1" t="str">
        <f t="shared" si="12"/>
        <v>2023</v>
      </c>
      <c r="M190" t="str">
        <f t="shared" si="13"/>
        <v>Aug</v>
      </c>
      <c r="N190" t="str">
        <f t="shared" si="14"/>
        <v>Thu</v>
      </c>
      <c r="O190" s="1">
        <f t="shared" si="15"/>
        <v>3</v>
      </c>
      <c r="P190" s="1">
        <f t="shared" si="16"/>
        <v>42.5</v>
      </c>
      <c r="Q190" s="1">
        <f>ROUND(G190*H190*VLOOKUP(D190,'Cost Product'!A$1:C$21,3,FALSE),0)</f>
        <v>26</v>
      </c>
      <c r="R190" s="1">
        <f t="shared" si="17"/>
        <v>16.5</v>
      </c>
    </row>
    <row r="191" spans="1:18" x14ac:dyDescent="0.25">
      <c r="A191" s="1" t="s">
        <v>417</v>
      </c>
      <c r="B191" t="s">
        <v>418</v>
      </c>
      <c r="C191" t="s">
        <v>17</v>
      </c>
      <c r="D191" t="s">
        <v>79</v>
      </c>
      <c r="E191" s="4">
        <v>45436</v>
      </c>
      <c r="F191" s="4">
        <v>45442</v>
      </c>
      <c r="G191" s="1">
        <v>3</v>
      </c>
      <c r="H191" s="1">
        <v>5</v>
      </c>
      <c r="I191" t="s">
        <v>13</v>
      </c>
      <c r="J191" t="s">
        <v>2142</v>
      </c>
      <c r="K191" t="s">
        <v>28</v>
      </c>
      <c r="L191" s="1" t="str">
        <f t="shared" si="12"/>
        <v>2024</v>
      </c>
      <c r="M191" t="str">
        <f t="shared" si="13"/>
        <v>May</v>
      </c>
      <c r="N191" t="str">
        <f t="shared" si="14"/>
        <v>Fri</v>
      </c>
      <c r="O191" s="1">
        <f t="shared" si="15"/>
        <v>6</v>
      </c>
      <c r="P191" s="1">
        <f t="shared" si="16"/>
        <v>15</v>
      </c>
      <c r="Q191" s="1">
        <f>ROUND(G191*H191*VLOOKUP(D191,'Cost Product'!A$1:C$21,3,FALSE),0)</f>
        <v>8</v>
      </c>
      <c r="R191" s="1">
        <f t="shared" si="17"/>
        <v>7</v>
      </c>
    </row>
    <row r="192" spans="1:18" x14ac:dyDescent="0.25">
      <c r="A192" s="1" t="s">
        <v>419</v>
      </c>
      <c r="B192" t="s">
        <v>420</v>
      </c>
      <c r="C192" t="s">
        <v>11</v>
      </c>
      <c r="D192" t="s">
        <v>36</v>
      </c>
      <c r="E192" s="4">
        <v>45385</v>
      </c>
      <c r="F192" s="4">
        <v>45387</v>
      </c>
      <c r="G192" s="1">
        <v>4</v>
      </c>
      <c r="H192" s="1">
        <v>6.25</v>
      </c>
      <c r="I192" t="s">
        <v>13</v>
      </c>
      <c r="J192" t="s">
        <v>2145</v>
      </c>
      <c r="K192" t="s">
        <v>19</v>
      </c>
      <c r="L192" s="1" t="str">
        <f t="shared" si="12"/>
        <v>2024</v>
      </c>
      <c r="M192" t="str">
        <f t="shared" si="13"/>
        <v>Apr</v>
      </c>
      <c r="N192" t="str">
        <f t="shared" si="14"/>
        <v>Wed</v>
      </c>
      <c r="O192" s="1">
        <f t="shared" si="15"/>
        <v>2</v>
      </c>
      <c r="P192" s="1">
        <f t="shared" si="16"/>
        <v>25</v>
      </c>
      <c r="Q192" s="1">
        <f>ROUND(G192*H192*VLOOKUP(D192,'Cost Product'!A$1:C$21,3,FALSE),0)</f>
        <v>14</v>
      </c>
      <c r="R192" s="1">
        <f t="shared" si="17"/>
        <v>11</v>
      </c>
    </row>
    <row r="193" spans="1:18" x14ac:dyDescent="0.25">
      <c r="A193" s="1" t="s">
        <v>421</v>
      </c>
      <c r="B193" t="s">
        <v>422</v>
      </c>
      <c r="C193" t="s">
        <v>22</v>
      </c>
      <c r="D193" t="s">
        <v>56</v>
      </c>
      <c r="E193" s="4">
        <v>45389</v>
      </c>
      <c r="F193" s="4">
        <v>45390</v>
      </c>
      <c r="G193" s="1">
        <v>4</v>
      </c>
      <c r="H193" s="1">
        <v>8.75</v>
      </c>
      <c r="I193" t="s">
        <v>13</v>
      </c>
      <c r="J193" t="s">
        <v>2144</v>
      </c>
      <c r="K193" t="s">
        <v>28</v>
      </c>
      <c r="L193" s="1" t="str">
        <f t="shared" si="12"/>
        <v>2024</v>
      </c>
      <c r="M193" t="str">
        <f t="shared" si="13"/>
        <v>Apr</v>
      </c>
      <c r="N193" t="str">
        <f t="shared" si="14"/>
        <v>Sun</v>
      </c>
      <c r="O193" s="1">
        <f t="shared" si="15"/>
        <v>1</v>
      </c>
      <c r="P193" s="1">
        <f t="shared" si="16"/>
        <v>35</v>
      </c>
      <c r="Q193" s="1">
        <f>ROUND(G193*H193*VLOOKUP(D193,'Cost Product'!A$1:C$21,3,FALSE),0)</f>
        <v>20</v>
      </c>
      <c r="R193" s="1">
        <f t="shared" si="17"/>
        <v>15</v>
      </c>
    </row>
    <row r="194" spans="1:18" x14ac:dyDescent="0.25">
      <c r="A194" s="1" t="s">
        <v>423</v>
      </c>
      <c r="B194" t="s">
        <v>424</v>
      </c>
      <c r="C194" t="s">
        <v>65</v>
      </c>
      <c r="D194" t="s">
        <v>66</v>
      </c>
      <c r="E194" s="4">
        <v>45448</v>
      </c>
      <c r="F194" s="4">
        <v>45449</v>
      </c>
      <c r="G194" s="1">
        <v>5</v>
      </c>
      <c r="H194" s="1">
        <v>3.5</v>
      </c>
      <c r="I194" t="s">
        <v>13</v>
      </c>
      <c r="J194" t="s">
        <v>2145</v>
      </c>
      <c r="K194" t="s">
        <v>19</v>
      </c>
      <c r="L194" s="1" t="str">
        <f t="shared" si="12"/>
        <v>2024</v>
      </c>
      <c r="M194" t="str">
        <f t="shared" si="13"/>
        <v>Jun</v>
      </c>
      <c r="N194" t="str">
        <f t="shared" si="14"/>
        <v>Wed</v>
      </c>
      <c r="O194" s="1">
        <f t="shared" si="15"/>
        <v>1</v>
      </c>
      <c r="P194" s="1">
        <f t="shared" si="16"/>
        <v>17.5</v>
      </c>
      <c r="Q194" s="1">
        <f>ROUND(G194*H194*VLOOKUP(D194,'Cost Product'!A$1:C$21,3,FALSE),0)</f>
        <v>8</v>
      </c>
      <c r="R194" s="1">
        <f t="shared" si="17"/>
        <v>9.5</v>
      </c>
    </row>
    <row r="195" spans="1:18" x14ac:dyDescent="0.25">
      <c r="A195" s="1" t="s">
        <v>425</v>
      </c>
      <c r="B195" t="s">
        <v>426</v>
      </c>
      <c r="C195" t="s">
        <v>65</v>
      </c>
      <c r="D195" t="s">
        <v>115</v>
      </c>
      <c r="E195" s="4">
        <v>45335</v>
      </c>
      <c r="F195" s="4">
        <v>45342</v>
      </c>
      <c r="G195" s="1">
        <v>1</v>
      </c>
      <c r="H195" s="1">
        <v>3</v>
      </c>
      <c r="I195" t="s">
        <v>13</v>
      </c>
      <c r="J195" t="s">
        <v>2143</v>
      </c>
      <c r="K195" t="s">
        <v>14</v>
      </c>
      <c r="L195" s="1" t="str">
        <f t="shared" ref="L195:L258" si="18">TEXT(E195, "YYYY")</f>
        <v>2024</v>
      </c>
      <c r="M195" t="str">
        <f t="shared" ref="M195:M258" si="19">TEXT(E195, "MMM")</f>
        <v>Feb</v>
      </c>
      <c r="N195" t="str">
        <f t="shared" ref="N195:N258" si="20">TEXT(E195, "DDD")</f>
        <v>Tue</v>
      </c>
      <c r="O195" s="1">
        <f t="shared" ref="O195:O258" si="21">DATEDIF(E195, F195, "D")</f>
        <v>7</v>
      </c>
      <c r="P195" s="1">
        <f t="shared" ref="P195:P258" si="22">G195*H195</f>
        <v>3</v>
      </c>
      <c r="Q195" s="1">
        <f>ROUND(G195*H195*VLOOKUP(D195,'Cost Product'!A$1:C$21,3,FALSE),0)</f>
        <v>1</v>
      </c>
      <c r="R195" s="1">
        <f t="shared" ref="R195:R258" si="23">P195-Q195</f>
        <v>2</v>
      </c>
    </row>
    <row r="196" spans="1:18" x14ac:dyDescent="0.25">
      <c r="A196" s="1" t="s">
        <v>427</v>
      </c>
      <c r="B196" t="s">
        <v>428</v>
      </c>
      <c r="C196" t="s">
        <v>65</v>
      </c>
      <c r="D196" t="s">
        <v>99</v>
      </c>
      <c r="E196" s="4">
        <v>45517</v>
      </c>
      <c r="F196" s="4">
        <v>45519</v>
      </c>
      <c r="G196" s="1">
        <v>2</v>
      </c>
      <c r="H196" s="1">
        <v>4</v>
      </c>
      <c r="I196" t="s">
        <v>13</v>
      </c>
      <c r="J196" t="s">
        <v>2144</v>
      </c>
      <c r="K196" t="s">
        <v>14</v>
      </c>
      <c r="L196" s="1" t="str">
        <f t="shared" si="18"/>
        <v>2024</v>
      </c>
      <c r="M196" t="str">
        <f t="shared" si="19"/>
        <v>Aug</v>
      </c>
      <c r="N196" t="str">
        <f t="shared" si="20"/>
        <v>Tue</v>
      </c>
      <c r="O196" s="1">
        <f t="shared" si="21"/>
        <v>2</v>
      </c>
      <c r="P196" s="1">
        <f t="shared" si="22"/>
        <v>8</v>
      </c>
      <c r="Q196" s="1">
        <f>ROUND(G196*H196*VLOOKUP(D196,'Cost Product'!A$1:C$21,3,FALSE),0)</f>
        <v>4</v>
      </c>
      <c r="R196" s="1">
        <f t="shared" si="23"/>
        <v>4</v>
      </c>
    </row>
    <row r="197" spans="1:18" x14ac:dyDescent="0.25">
      <c r="A197" s="1" t="s">
        <v>429</v>
      </c>
      <c r="B197" t="s">
        <v>430</v>
      </c>
      <c r="C197" t="s">
        <v>22</v>
      </c>
      <c r="D197" t="s">
        <v>62</v>
      </c>
      <c r="E197" s="4">
        <v>45469</v>
      </c>
      <c r="F197" s="4">
        <v>45472</v>
      </c>
      <c r="G197" s="1">
        <v>2</v>
      </c>
      <c r="H197" s="1">
        <v>8</v>
      </c>
      <c r="I197" t="s">
        <v>13</v>
      </c>
      <c r="J197" t="s">
        <v>2142</v>
      </c>
      <c r="K197" t="s">
        <v>19</v>
      </c>
      <c r="L197" s="1" t="str">
        <f t="shared" si="18"/>
        <v>2024</v>
      </c>
      <c r="M197" t="str">
        <f t="shared" si="19"/>
        <v>Jun</v>
      </c>
      <c r="N197" t="str">
        <f t="shared" si="20"/>
        <v>Wed</v>
      </c>
      <c r="O197" s="1">
        <f t="shared" si="21"/>
        <v>3</v>
      </c>
      <c r="P197" s="1">
        <f t="shared" si="22"/>
        <v>16</v>
      </c>
      <c r="Q197" s="1">
        <f>ROUND(G197*H197*VLOOKUP(D197,'Cost Product'!A$1:C$21,3,FALSE),0)</f>
        <v>9</v>
      </c>
      <c r="R197" s="1">
        <f t="shared" si="23"/>
        <v>7</v>
      </c>
    </row>
    <row r="198" spans="1:18" x14ac:dyDescent="0.25">
      <c r="A198" s="1" t="s">
        <v>431</v>
      </c>
      <c r="B198" t="s">
        <v>432</v>
      </c>
      <c r="C198" t="s">
        <v>65</v>
      </c>
      <c r="D198" t="s">
        <v>99</v>
      </c>
      <c r="E198" s="4">
        <v>45310</v>
      </c>
      <c r="F198" s="4">
        <v>45312</v>
      </c>
      <c r="G198" s="1">
        <v>1</v>
      </c>
      <c r="H198" s="1">
        <v>4</v>
      </c>
      <c r="I198" t="s">
        <v>13</v>
      </c>
      <c r="J198" t="s">
        <v>2142</v>
      </c>
      <c r="K198" t="s">
        <v>19</v>
      </c>
      <c r="L198" s="1" t="str">
        <f t="shared" si="18"/>
        <v>2024</v>
      </c>
      <c r="M198" t="str">
        <f t="shared" si="19"/>
        <v>Jan</v>
      </c>
      <c r="N198" t="str">
        <f t="shared" si="20"/>
        <v>Fri</v>
      </c>
      <c r="O198" s="1">
        <f t="shared" si="21"/>
        <v>2</v>
      </c>
      <c r="P198" s="1">
        <f t="shared" si="22"/>
        <v>4</v>
      </c>
      <c r="Q198" s="1">
        <f>ROUND(G198*H198*VLOOKUP(D198,'Cost Product'!A$1:C$21,3,FALSE),0)</f>
        <v>2</v>
      </c>
      <c r="R198" s="1">
        <f t="shared" si="23"/>
        <v>2</v>
      </c>
    </row>
    <row r="199" spans="1:18" x14ac:dyDescent="0.25">
      <c r="A199" s="1" t="s">
        <v>433</v>
      </c>
      <c r="B199" t="s">
        <v>434</v>
      </c>
      <c r="C199" t="s">
        <v>22</v>
      </c>
      <c r="D199" t="s">
        <v>62</v>
      </c>
      <c r="E199" s="4">
        <v>45193</v>
      </c>
      <c r="F199" s="4">
        <v>45199</v>
      </c>
      <c r="G199" s="1">
        <v>2</v>
      </c>
      <c r="H199" s="1">
        <v>8</v>
      </c>
      <c r="I199" t="s">
        <v>13</v>
      </c>
      <c r="J199" t="s">
        <v>2141</v>
      </c>
      <c r="K199" t="s">
        <v>28</v>
      </c>
      <c r="L199" s="1" t="str">
        <f t="shared" si="18"/>
        <v>2023</v>
      </c>
      <c r="M199" t="str">
        <f t="shared" si="19"/>
        <v>Sep</v>
      </c>
      <c r="N199" t="str">
        <f t="shared" si="20"/>
        <v>Sun</v>
      </c>
      <c r="O199" s="1">
        <f t="shared" si="21"/>
        <v>6</v>
      </c>
      <c r="P199" s="1">
        <f t="shared" si="22"/>
        <v>16</v>
      </c>
      <c r="Q199" s="1">
        <f>ROUND(G199*H199*VLOOKUP(D199,'Cost Product'!A$1:C$21,3,FALSE),0)</f>
        <v>9</v>
      </c>
      <c r="R199" s="1">
        <f t="shared" si="23"/>
        <v>7</v>
      </c>
    </row>
    <row r="200" spans="1:18" x14ac:dyDescent="0.25">
      <c r="A200" s="1" t="s">
        <v>435</v>
      </c>
      <c r="B200" t="s">
        <v>436</v>
      </c>
      <c r="C200" t="s">
        <v>65</v>
      </c>
      <c r="D200" t="s">
        <v>115</v>
      </c>
      <c r="E200" s="4">
        <v>45386</v>
      </c>
      <c r="F200" s="4">
        <v>45393</v>
      </c>
      <c r="G200" s="1">
        <v>2</v>
      </c>
      <c r="H200" s="1">
        <v>3</v>
      </c>
      <c r="I200" t="s">
        <v>13</v>
      </c>
      <c r="J200" t="s">
        <v>2145</v>
      </c>
      <c r="K200" t="s">
        <v>19</v>
      </c>
      <c r="L200" s="1" t="str">
        <f t="shared" si="18"/>
        <v>2024</v>
      </c>
      <c r="M200" t="str">
        <f t="shared" si="19"/>
        <v>Apr</v>
      </c>
      <c r="N200" t="str">
        <f t="shared" si="20"/>
        <v>Thu</v>
      </c>
      <c r="O200" s="1">
        <f t="shared" si="21"/>
        <v>7</v>
      </c>
      <c r="P200" s="1">
        <f t="shared" si="22"/>
        <v>6</v>
      </c>
      <c r="Q200" s="1">
        <f>ROUND(G200*H200*VLOOKUP(D200,'Cost Product'!A$1:C$21,3,FALSE),0)</f>
        <v>3</v>
      </c>
      <c r="R200" s="1">
        <f t="shared" si="23"/>
        <v>3</v>
      </c>
    </row>
    <row r="201" spans="1:18" x14ac:dyDescent="0.25">
      <c r="A201" s="1" t="s">
        <v>437</v>
      </c>
      <c r="B201" t="s">
        <v>438</v>
      </c>
      <c r="C201" t="s">
        <v>17</v>
      </c>
      <c r="D201" t="s">
        <v>50</v>
      </c>
      <c r="E201" s="4">
        <v>45509</v>
      </c>
      <c r="F201" s="4">
        <v>45511</v>
      </c>
      <c r="G201" s="1">
        <v>2</v>
      </c>
      <c r="H201" s="1">
        <v>5.25</v>
      </c>
      <c r="I201" t="s">
        <v>40</v>
      </c>
      <c r="J201" t="s">
        <v>2144</v>
      </c>
      <c r="K201" t="s">
        <v>14</v>
      </c>
      <c r="L201" s="1" t="str">
        <f t="shared" si="18"/>
        <v>2024</v>
      </c>
      <c r="M201" t="str">
        <f t="shared" si="19"/>
        <v>Aug</v>
      </c>
      <c r="N201" t="str">
        <f t="shared" si="20"/>
        <v>Mon</v>
      </c>
      <c r="O201" s="1">
        <f t="shared" si="21"/>
        <v>2</v>
      </c>
      <c r="P201" s="1">
        <f t="shared" si="22"/>
        <v>10.5</v>
      </c>
      <c r="Q201" s="1">
        <f>ROUND(G201*H201*VLOOKUP(D201,'Cost Product'!A$1:C$21,3,FALSE),0)</f>
        <v>6</v>
      </c>
      <c r="R201" s="1">
        <f t="shared" si="23"/>
        <v>4.5</v>
      </c>
    </row>
    <row r="202" spans="1:18" x14ac:dyDescent="0.25">
      <c r="A202" s="1" t="s">
        <v>439</v>
      </c>
      <c r="B202" t="s">
        <v>440</v>
      </c>
      <c r="C202" t="s">
        <v>26</v>
      </c>
      <c r="D202" t="s">
        <v>82</v>
      </c>
      <c r="E202" s="4">
        <v>45372</v>
      </c>
      <c r="F202" s="4">
        <v>45373</v>
      </c>
      <c r="G202" s="1">
        <v>2</v>
      </c>
      <c r="H202" s="1">
        <v>4.25</v>
      </c>
      <c r="I202" t="s">
        <v>40</v>
      </c>
      <c r="J202" t="s">
        <v>2143</v>
      </c>
      <c r="K202" t="s">
        <v>28</v>
      </c>
      <c r="L202" s="1" t="str">
        <f t="shared" si="18"/>
        <v>2024</v>
      </c>
      <c r="M202" t="str">
        <f t="shared" si="19"/>
        <v>Mar</v>
      </c>
      <c r="N202" t="str">
        <f t="shared" si="20"/>
        <v>Thu</v>
      </c>
      <c r="O202" s="1">
        <f t="shared" si="21"/>
        <v>1</v>
      </c>
      <c r="P202" s="1">
        <f t="shared" si="22"/>
        <v>8.5</v>
      </c>
      <c r="Q202" s="1">
        <f>ROUND(G202*H202*VLOOKUP(D202,'Cost Product'!A$1:C$21,3,FALSE),0)</f>
        <v>4</v>
      </c>
      <c r="R202" s="1">
        <f t="shared" si="23"/>
        <v>4.5</v>
      </c>
    </row>
    <row r="203" spans="1:18" x14ac:dyDescent="0.25">
      <c r="A203" s="1" t="s">
        <v>441</v>
      </c>
      <c r="B203" t="s">
        <v>442</v>
      </c>
      <c r="C203" t="s">
        <v>65</v>
      </c>
      <c r="D203" t="s">
        <v>66</v>
      </c>
      <c r="E203" s="4">
        <v>45394</v>
      </c>
      <c r="F203" s="4">
        <v>45396</v>
      </c>
      <c r="G203" s="1">
        <v>4</v>
      </c>
      <c r="H203" s="1">
        <v>3.5</v>
      </c>
      <c r="I203" t="s">
        <v>13</v>
      </c>
      <c r="J203" t="s">
        <v>2143</v>
      </c>
      <c r="K203" t="s">
        <v>19</v>
      </c>
      <c r="L203" s="1" t="str">
        <f t="shared" si="18"/>
        <v>2024</v>
      </c>
      <c r="M203" t="str">
        <f t="shared" si="19"/>
        <v>Apr</v>
      </c>
      <c r="N203" t="str">
        <f t="shared" si="20"/>
        <v>Fri</v>
      </c>
      <c r="O203" s="1">
        <f t="shared" si="21"/>
        <v>2</v>
      </c>
      <c r="P203" s="1">
        <f t="shared" si="22"/>
        <v>14</v>
      </c>
      <c r="Q203" s="1">
        <f>ROUND(G203*H203*VLOOKUP(D203,'Cost Product'!A$1:C$21,3,FALSE),0)</f>
        <v>7</v>
      </c>
      <c r="R203" s="1">
        <f t="shared" si="23"/>
        <v>7</v>
      </c>
    </row>
    <row r="204" spans="1:18" x14ac:dyDescent="0.25">
      <c r="A204" s="1" t="s">
        <v>443</v>
      </c>
      <c r="B204" t="s">
        <v>444</v>
      </c>
      <c r="C204" t="s">
        <v>17</v>
      </c>
      <c r="D204" t="s">
        <v>18</v>
      </c>
      <c r="E204" s="4">
        <v>45411</v>
      </c>
      <c r="F204" s="4">
        <v>45413</v>
      </c>
      <c r="G204" s="1">
        <v>1</v>
      </c>
      <c r="H204" s="1">
        <v>5.5</v>
      </c>
      <c r="I204" t="s">
        <v>13</v>
      </c>
      <c r="J204" t="s">
        <v>2146</v>
      </c>
      <c r="K204" t="s">
        <v>28</v>
      </c>
      <c r="L204" s="1" t="str">
        <f t="shared" si="18"/>
        <v>2024</v>
      </c>
      <c r="M204" t="str">
        <f t="shared" si="19"/>
        <v>Apr</v>
      </c>
      <c r="N204" t="str">
        <f t="shared" si="20"/>
        <v>Mon</v>
      </c>
      <c r="O204" s="1">
        <f t="shared" si="21"/>
        <v>2</v>
      </c>
      <c r="P204" s="1">
        <f t="shared" si="22"/>
        <v>5.5</v>
      </c>
      <c r="Q204" s="1">
        <f>ROUND(G204*H204*VLOOKUP(D204,'Cost Product'!A$1:C$21,3,FALSE),0)</f>
        <v>3</v>
      </c>
      <c r="R204" s="1">
        <f t="shared" si="23"/>
        <v>2.5</v>
      </c>
    </row>
    <row r="205" spans="1:18" x14ac:dyDescent="0.25">
      <c r="A205" s="1" t="s">
        <v>445</v>
      </c>
      <c r="B205" t="s">
        <v>446</v>
      </c>
      <c r="C205" t="s">
        <v>26</v>
      </c>
      <c r="D205" t="s">
        <v>104</v>
      </c>
      <c r="E205" s="4">
        <v>45224</v>
      </c>
      <c r="F205" s="4">
        <v>45229</v>
      </c>
      <c r="G205" s="1">
        <v>1</v>
      </c>
      <c r="H205" s="1">
        <v>4.5</v>
      </c>
      <c r="I205" t="s">
        <v>13</v>
      </c>
      <c r="J205" t="s">
        <v>2142</v>
      </c>
      <c r="K205" t="s">
        <v>14</v>
      </c>
      <c r="L205" s="1" t="str">
        <f t="shared" si="18"/>
        <v>2023</v>
      </c>
      <c r="M205" t="str">
        <f t="shared" si="19"/>
        <v>Oct</v>
      </c>
      <c r="N205" t="str">
        <f t="shared" si="20"/>
        <v>Wed</v>
      </c>
      <c r="O205" s="1">
        <f t="shared" si="21"/>
        <v>5</v>
      </c>
      <c r="P205" s="1">
        <f t="shared" si="22"/>
        <v>4.5</v>
      </c>
      <c r="Q205" s="1">
        <f>ROUND(G205*H205*VLOOKUP(D205,'Cost Product'!A$1:C$21,3,FALSE),0)</f>
        <v>2</v>
      </c>
      <c r="R205" s="1">
        <f t="shared" si="23"/>
        <v>2.5</v>
      </c>
    </row>
    <row r="206" spans="1:18" x14ac:dyDescent="0.25">
      <c r="A206" s="1" t="s">
        <v>447</v>
      </c>
      <c r="B206" t="s">
        <v>448</v>
      </c>
      <c r="C206" t="s">
        <v>11</v>
      </c>
      <c r="D206" t="s">
        <v>31</v>
      </c>
      <c r="E206" s="4">
        <v>45359</v>
      </c>
      <c r="F206" s="4">
        <v>45361</v>
      </c>
      <c r="G206" s="1">
        <v>4</v>
      </c>
      <c r="H206" s="1">
        <v>5.5</v>
      </c>
      <c r="I206" t="s">
        <v>13</v>
      </c>
      <c r="J206" t="s">
        <v>2145</v>
      </c>
      <c r="K206" t="s">
        <v>28</v>
      </c>
      <c r="L206" s="1" t="str">
        <f t="shared" si="18"/>
        <v>2024</v>
      </c>
      <c r="M206" t="str">
        <f t="shared" si="19"/>
        <v>Mar</v>
      </c>
      <c r="N206" t="str">
        <f t="shared" si="20"/>
        <v>Fri</v>
      </c>
      <c r="O206" s="1">
        <f t="shared" si="21"/>
        <v>2</v>
      </c>
      <c r="P206" s="1">
        <f t="shared" si="22"/>
        <v>22</v>
      </c>
      <c r="Q206" s="1">
        <f>ROUND(G206*H206*VLOOKUP(D206,'Cost Product'!A$1:C$21,3,FALSE),0)</f>
        <v>11</v>
      </c>
      <c r="R206" s="1">
        <f t="shared" si="23"/>
        <v>11</v>
      </c>
    </row>
    <row r="207" spans="1:18" x14ac:dyDescent="0.25">
      <c r="A207" s="1" t="s">
        <v>449</v>
      </c>
      <c r="B207" t="s">
        <v>450</v>
      </c>
      <c r="C207" t="s">
        <v>22</v>
      </c>
      <c r="D207" t="s">
        <v>59</v>
      </c>
      <c r="E207" s="4">
        <v>45456</v>
      </c>
      <c r="F207" s="4">
        <v>45459</v>
      </c>
      <c r="G207" s="1">
        <v>4</v>
      </c>
      <c r="H207" s="1">
        <v>8.5</v>
      </c>
      <c r="I207" t="s">
        <v>40</v>
      </c>
      <c r="J207" t="s">
        <v>2143</v>
      </c>
      <c r="K207" t="s">
        <v>28</v>
      </c>
      <c r="L207" s="1" t="str">
        <f t="shared" si="18"/>
        <v>2024</v>
      </c>
      <c r="M207" t="str">
        <f t="shared" si="19"/>
        <v>Jun</v>
      </c>
      <c r="N207" t="str">
        <f t="shared" si="20"/>
        <v>Thu</v>
      </c>
      <c r="O207" s="1">
        <f t="shared" si="21"/>
        <v>3</v>
      </c>
      <c r="P207" s="1">
        <f t="shared" si="22"/>
        <v>34</v>
      </c>
      <c r="Q207" s="1">
        <f>ROUND(G207*H207*VLOOKUP(D207,'Cost Product'!A$1:C$21,3,FALSE),0)</f>
        <v>20</v>
      </c>
      <c r="R207" s="1">
        <f t="shared" si="23"/>
        <v>14</v>
      </c>
    </row>
    <row r="208" spans="1:18" x14ac:dyDescent="0.25">
      <c r="A208" s="1" t="s">
        <v>451</v>
      </c>
      <c r="B208" t="s">
        <v>452</v>
      </c>
      <c r="C208" t="s">
        <v>22</v>
      </c>
      <c r="D208" t="s">
        <v>62</v>
      </c>
      <c r="E208" s="4">
        <v>45201</v>
      </c>
      <c r="F208" s="4">
        <v>45205</v>
      </c>
      <c r="G208" s="1">
        <v>5</v>
      </c>
      <c r="H208" s="1">
        <v>8</v>
      </c>
      <c r="I208" t="s">
        <v>40</v>
      </c>
      <c r="J208" t="s">
        <v>2144</v>
      </c>
      <c r="K208" t="s">
        <v>28</v>
      </c>
      <c r="L208" s="1" t="str">
        <f t="shared" si="18"/>
        <v>2023</v>
      </c>
      <c r="M208" t="str">
        <f t="shared" si="19"/>
        <v>Oct</v>
      </c>
      <c r="N208" t="str">
        <f t="shared" si="20"/>
        <v>Mon</v>
      </c>
      <c r="O208" s="1">
        <f t="shared" si="21"/>
        <v>4</v>
      </c>
      <c r="P208" s="1">
        <f t="shared" si="22"/>
        <v>40</v>
      </c>
      <c r="Q208" s="1">
        <f>ROUND(G208*H208*VLOOKUP(D208,'Cost Product'!A$1:C$21,3,FALSE),0)</f>
        <v>23</v>
      </c>
      <c r="R208" s="1">
        <f t="shared" si="23"/>
        <v>17</v>
      </c>
    </row>
    <row r="209" spans="1:18" x14ac:dyDescent="0.25">
      <c r="A209" s="1" t="s">
        <v>453</v>
      </c>
      <c r="B209" t="s">
        <v>454</v>
      </c>
      <c r="C209" t="s">
        <v>26</v>
      </c>
      <c r="D209" t="s">
        <v>82</v>
      </c>
      <c r="E209" s="4">
        <v>45309</v>
      </c>
      <c r="F209" s="4">
        <v>45310</v>
      </c>
      <c r="G209" s="1">
        <v>1</v>
      </c>
      <c r="H209" s="1">
        <v>4.25</v>
      </c>
      <c r="I209" t="s">
        <v>13</v>
      </c>
      <c r="J209" t="s">
        <v>2143</v>
      </c>
      <c r="K209" t="s">
        <v>28</v>
      </c>
      <c r="L209" s="1" t="str">
        <f t="shared" si="18"/>
        <v>2024</v>
      </c>
      <c r="M209" t="str">
        <f t="shared" si="19"/>
        <v>Jan</v>
      </c>
      <c r="N209" t="str">
        <f t="shared" si="20"/>
        <v>Thu</v>
      </c>
      <c r="O209" s="1">
        <f t="shared" si="21"/>
        <v>1</v>
      </c>
      <c r="P209" s="1">
        <f t="shared" si="22"/>
        <v>4.25</v>
      </c>
      <c r="Q209" s="1">
        <f>ROUND(G209*H209*VLOOKUP(D209,'Cost Product'!A$1:C$21,3,FALSE),0)</f>
        <v>2</v>
      </c>
      <c r="R209" s="1">
        <f t="shared" si="23"/>
        <v>2.25</v>
      </c>
    </row>
    <row r="210" spans="1:18" x14ac:dyDescent="0.25">
      <c r="A210" s="1" t="s">
        <v>455</v>
      </c>
      <c r="B210" t="s">
        <v>456</v>
      </c>
      <c r="C210" t="s">
        <v>65</v>
      </c>
      <c r="D210" t="s">
        <v>120</v>
      </c>
      <c r="E210" s="4">
        <v>45227</v>
      </c>
      <c r="F210" s="4">
        <v>45236</v>
      </c>
      <c r="G210" s="1">
        <v>4</v>
      </c>
      <c r="H210" s="1">
        <v>3.75</v>
      </c>
      <c r="I210" t="s">
        <v>13</v>
      </c>
      <c r="J210" t="s">
        <v>2144</v>
      </c>
      <c r="K210" t="s">
        <v>28</v>
      </c>
      <c r="L210" s="1" t="str">
        <f t="shared" si="18"/>
        <v>2023</v>
      </c>
      <c r="M210" t="str">
        <f t="shared" si="19"/>
        <v>Oct</v>
      </c>
      <c r="N210" t="str">
        <f t="shared" si="20"/>
        <v>Sat</v>
      </c>
      <c r="O210" s="1">
        <f t="shared" si="21"/>
        <v>9</v>
      </c>
      <c r="P210" s="1">
        <f t="shared" si="22"/>
        <v>15</v>
      </c>
      <c r="Q210" s="1">
        <f>ROUND(G210*H210*VLOOKUP(D210,'Cost Product'!A$1:C$21,3,FALSE),0)</f>
        <v>8</v>
      </c>
      <c r="R210" s="1">
        <f t="shared" si="23"/>
        <v>7</v>
      </c>
    </row>
    <row r="211" spans="1:18" x14ac:dyDescent="0.25">
      <c r="A211" s="1" t="s">
        <v>457</v>
      </c>
      <c r="B211" t="s">
        <v>458</v>
      </c>
      <c r="C211" t="s">
        <v>65</v>
      </c>
      <c r="D211" t="s">
        <v>66</v>
      </c>
      <c r="E211" s="4">
        <v>45419</v>
      </c>
      <c r="F211" s="4">
        <v>45421</v>
      </c>
      <c r="G211" s="1">
        <v>1</v>
      </c>
      <c r="H211" s="1">
        <v>3.5</v>
      </c>
      <c r="I211" t="s">
        <v>13</v>
      </c>
      <c r="J211" t="s">
        <v>2141</v>
      </c>
      <c r="K211" t="s">
        <v>19</v>
      </c>
      <c r="L211" s="1" t="str">
        <f t="shared" si="18"/>
        <v>2024</v>
      </c>
      <c r="M211" t="str">
        <f t="shared" si="19"/>
        <v>May</v>
      </c>
      <c r="N211" t="str">
        <f t="shared" si="20"/>
        <v>Tue</v>
      </c>
      <c r="O211" s="1">
        <f t="shared" si="21"/>
        <v>2</v>
      </c>
      <c r="P211" s="1">
        <f t="shared" si="22"/>
        <v>3.5</v>
      </c>
      <c r="Q211" s="1">
        <f>ROUND(G211*H211*VLOOKUP(D211,'Cost Product'!A$1:C$21,3,FALSE),0)</f>
        <v>2</v>
      </c>
      <c r="R211" s="1">
        <f t="shared" si="23"/>
        <v>1.5</v>
      </c>
    </row>
    <row r="212" spans="1:18" x14ac:dyDescent="0.25">
      <c r="A212" s="1" t="s">
        <v>459</v>
      </c>
      <c r="B212" t="s">
        <v>460</v>
      </c>
      <c r="C212" t="s">
        <v>11</v>
      </c>
      <c r="D212" t="s">
        <v>12</v>
      </c>
      <c r="E212" s="4">
        <v>45401</v>
      </c>
      <c r="F212" s="4">
        <v>45404</v>
      </c>
      <c r="G212" s="1">
        <v>4</v>
      </c>
      <c r="H212" s="1">
        <v>6.5</v>
      </c>
      <c r="I212" t="s">
        <v>13</v>
      </c>
      <c r="J212" t="s">
        <v>2143</v>
      </c>
      <c r="K212" t="s">
        <v>28</v>
      </c>
      <c r="L212" s="1" t="str">
        <f t="shared" si="18"/>
        <v>2024</v>
      </c>
      <c r="M212" t="str">
        <f t="shared" si="19"/>
        <v>Apr</v>
      </c>
      <c r="N212" t="str">
        <f t="shared" si="20"/>
        <v>Fri</v>
      </c>
      <c r="O212" s="1">
        <f t="shared" si="21"/>
        <v>3</v>
      </c>
      <c r="P212" s="1">
        <f t="shared" si="22"/>
        <v>26</v>
      </c>
      <c r="Q212" s="1">
        <f>ROUND(G212*H212*VLOOKUP(D212,'Cost Product'!A$1:C$21,3,FALSE),0)</f>
        <v>15</v>
      </c>
      <c r="R212" s="1">
        <f t="shared" si="23"/>
        <v>11</v>
      </c>
    </row>
    <row r="213" spans="1:18" x14ac:dyDescent="0.25">
      <c r="A213" s="1" t="s">
        <v>461</v>
      </c>
      <c r="B213" t="s">
        <v>462</v>
      </c>
      <c r="C213" t="s">
        <v>65</v>
      </c>
      <c r="D213" t="s">
        <v>66</v>
      </c>
      <c r="E213" s="4">
        <v>45571</v>
      </c>
      <c r="F213" s="4">
        <v>45577</v>
      </c>
      <c r="G213" s="1">
        <v>1</v>
      </c>
      <c r="H213" s="1">
        <v>3.5</v>
      </c>
      <c r="I213" t="s">
        <v>40</v>
      </c>
      <c r="J213" t="s">
        <v>2144</v>
      </c>
      <c r="K213" t="s">
        <v>14</v>
      </c>
      <c r="L213" s="1" t="str">
        <f t="shared" si="18"/>
        <v>2024</v>
      </c>
      <c r="M213" t="str">
        <f t="shared" si="19"/>
        <v>Oct</v>
      </c>
      <c r="N213" t="str">
        <f t="shared" si="20"/>
        <v>Sun</v>
      </c>
      <c r="O213" s="1">
        <f t="shared" si="21"/>
        <v>6</v>
      </c>
      <c r="P213" s="1">
        <f t="shared" si="22"/>
        <v>3.5</v>
      </c>
      <c r="Q213" s="1">
        <f>ROUND(G213*H213*VLOOKUP(D213,'Cost Product'!A$1:C$21,3,FALSE),0)</f>
        <v>2</v>
      </c>
      <c r="R213" s="1">
        <f t="shared" si="23"/>
        <v>1.5</v>
      </c>
    </row>
    <row r="214" spans="1:18" x14ac:dyDescent="0.25">
      <c r="A214" s="1" t="s">
        <v>463</v>
      </c>
      <c r="B214" t="s">
        <v>464</v>
      </c>
      <c r="C214" t="s">
        <v>11</v>
      </c>
      <c r="D214" t="s">
        <v>12</v>
      </c>
      <c r="E214" s="4">
        <v>45438</v>
      </c>
      <c r="F214" s="4">
        <v>45439</v>
      </c>
      <c r="G214" s="1">
        <v>2</v>
      </c>
      <c r="H214" s="1">
        <v>6.5</v>
      </c>
      <c r="I214" t="s">
        <v>13</v>
      </c>
      <c r="J214" t="s">
        <v>2146</v>
      </c>
      <c r="K214" t="s">
        <v>19</v>
      </c>
      <c r="L214" s="1" t="str">
        <f t="shared" si="18"/>
        <v>2024</v>
      </c>
      <c r="M214" t="str">
        <f t="shared" si="19"/>
        <v>May</v>
      </c>
      <c r="N214" t="str">
        <f t="shared" si="20"/>
        <v>Sun</v>
      </c>
      <c r="O214" s="1">
        <f t="shared" si="21"/>
        <v>1</v>
      </c>
      <c r="P214" s="1">
        <f t="shared" si="22"/>
        <v>13</v>
      </c>
      <c r="Q214" s="1">
        <f>ROUND(G214*H214*VLOOKUP(D214,'Cost Product'!A$1:C$21,3,FALSE),0)</f>
        <v>8</v>
      </c>
      <c r="R214" s="1">
        <f t="shared" si="23"/>
        <v>5</v>
      </c>
    </row>
    <row r="215" spans="1:18" x14ac:dyDescent="0.25">
      <c r="A215" s="1" t="s">
        <v>465</v>
      </c>
      <c r="B215" t="s">
        <v>466</v>
      </c>
      <c r="C215" t="s">
        <v>17</v>
      </c>
      <c r="D215" t="s">
        <v>18</v>
      </c>
      <c r="E215" s="4">
        <v>45330</v>
      </c>
      <c r="F215" s="4">
        <v>45336</v>
      </c>
      <c r="G215" s="1">
        <v>2</v>
      </c>
      <c r="H215" s="1">
        <v>5.5</v>
      </c>
      <c r="I215" t="s">
        <v>40</v>
      </c>
      <c r="J215" t="s">
        <v>2144</v>
      </c>
      <c r="K215" t="s">
        <v>28</v>
      </c>
      <c r="L215" s="1" t="str">
        <f t="shared" si="18"/>
        <v>2024</v>
      </c>
      <c r="M215" t="str">
        <f t="shared" si="19"/>
        <v>Feb</v>
      </c>
      <c r="N215" t="str">
        <f t="shared" si="20"/>
        <v>Thu</v>
      </c>
      <c r="O215" s="1">
        <f t="shared" si="21"/>
        <v>6</v>
      </c>
      <c r="P215" s="1">
        <f t="shared" si="22"/>
        <v>11</v>
      </c>
      <c r="Q215" s="1">
        <f>ROUND(G215*H215*VLOOKUP(D215,'Cost Product'!A$1:C$21,3,FALSE),0)</f>
        <v>7</v>
      </c>
      <c r="R215" s="1">
        <f t="shared" si="23"/>
        <v>4</v>
      </c>
    </row>
    <row r="216" spans="1:18" x14ac:dyDescent="0.25">
      <c r="A216" s="1" t="s">
        <v>467</v>
      </c>
      <c r="B216" t="s">
        <v>468</v>
      </c>
      <c r="C216" t="s">
        <v>22</v>
      </c>
      <c r="D216" t="s">
        <v>62</v>
      </c>
      <c r="E216" s="4">
        <v>45332</v>
      </c>
      <c r="F216" s="4">
        <v>45333</v>
      </c>
      <c r="G216" s="1">
        <v>1</v>
      </c>
      <c r="H216" s="1">
        <v>8</v>
      </c>
      <c r="I216" t="s">
        <v>13</v>
      </c>
      <c r="J216" t="s">
        <v>2145</v>
      </c>
      <c r="K216" t="s">
        <v>19</v>
      </c>
      <c r="L216" s="1" t="str">
        <f t="shared" si="18"/>
        <v>2024</v>
      </c>
      <c r="M216" t="str">
        <f t="shared" si="19"/>
        <v>Feb</v>
      </c>
      <c r="N216" t="str">
        <f t="shared" si="20"/>
        <v>Sat</v>
      </c>
      <c r="O216" s="1">
        <f t="shared" si="21"/>
        <v>1</v>
      </c>
      <c r="P216" s="1">
        <f t="shared" si="22"/>
        <v>8</v>
      </c>
      <c r="Q216" s="1">
        <f>ROUND(G216*H216*VLOOKUP(D216,'Cost Product'!A$1:C$21,3,FALSE),0)</f>
        <v>5</v>
      </c>
      <c r="R216" s="1">
        <f t="shared" si="23"/>
        <v>3</v>
      </c>
    </row>
    <row r="217" spans="1:18" x14ac:dyDescent="0.25">
      <c r="A217" s="1" t="s">
        <v>469</v>
      </c>
      <c r="B217" t="s">
        <v>470</v>
      </c>
      <c r="C217" t="s">
        <v>65</v>
      </c>
      <c r="D217" t="s">
        <v>115</v>
      </c>
      <c r="E217" s="4">
        <v>45458</v>
      </c>
      <c r="F217" s="4">
        <v>45460</v>
      </c>
      <c r="G217" s="1">
        <v>3</v>
      </c>
      <c r="H217" s="1">
        <v>3</v>
      </c>
      <c r="I217" t="s">
        <v>40</v>
      </c>
      <c r="J217" t="s">
        <v>2142</v>
      </c>
      <c r="K217" t="s">
        <v>19</v>
      </c>
      <c r="L217" s="1" t="str">
        <f t="shared" si="18"/>
        <v>2024</v>
      </c>
      <c r="M217" t="str">
        <f t="shared" si="19"/>
        <v>Jun</v>
      </c>
      <c r="N217" t="str">
        <f t="shared" si="20"/>
        <v>Sat</v>
      </c>
      <c r="O217" s="1">
        <f t="shared" si="21"/>
        <v>2</v>
      </c>
      <c r="P217" s="1">
        <f t="shared" si="22"/>
        <v>9</v>
      </c>
      <c r="Q217" s="1">
        <f>ROUND(G217*H217*VLOOKUP(D217,'Cost Product'!A$1:C$21,3,FALSE),0)</f>
        <v>4</v>
      </c>
      <c r="R217" s="1">
        <f t="shared" si="23"/>
        <v>5</v>
      </c>
    </row>
    <row r="218" spans="1:18" x14ac:dyDescent="0.25">
      <c r="A218" s="1" t="s">
        <v>471</v>
      </c>
      <c r="B218" t="s">
        <v>472</v>
      </c>
      <c r="C218" t="s">
        <v>11</v>
      </c>
      <c r="D218" t="s">
        <v>31</v>
      </c>
      <c r="E218" s="4">
        <v>45131</v>
      </c>
      <c r="F218" s="4">
        <v>45132</v>
      </c>
      <c r="G218" s="1">
        <v>5</v>
      </c>
      <c r="H218" s="1">
        <v>5.5</v>
      </c>
      <c r="I218" t="s">
        <v>13</v>
      </c>
      <c r="J218" t="s">
        <v>2141</v>
      </c>
      <c r="K218" t="s">
        <v>14</v>
      </c>
      <c r="L218" s="1" t="str">
        <f t="shared" si="18"/>
        <v>2023</v>
      </c>
      <c r="M218" t="str">
        <f t="shared" si="19"/>
        <v>Jul</v>
      </c>
      <c r="N218" t="str">
        <f t="shared" si="20"/>
        <v>Mon</v>
      </c>
      <c r="O218" s="1">
        <f t="shared" si="21"/>
        <v>1</v>
      </c>
      <c r="P218" s="1">
        <f t="shared" si="22"/>
        <v>27.5</v>
      </c>
      <c r="Q218" s="1">
        <f>ROUND(G218*H218*VLOOKUP(D218,'Cost Product'!A$1:C$21,3,FALSE),0)</f>
        <v>14</v>
      </c>
      <c r="R218" s="1">
        <f t="shared" si="23"/>
        <v>13.5</v>
      </c>
    </row>
    <row r="219" spans="1:18" x14ac:dyDescent="0.25">
      <c r="A219" s="1" t="s">
        <v>473</v>
      </c>
      <c r="B219" t="s">
        <v>474</v>
      </c>
      <c r="C219" t="s">
        <v>65</v>
      </c>
      <c r="D219" t="s">
        <v>66</v>
      </c>
      <c r="E219" s="4">
        <v>45260</v>
      </c>
      <c r="F219" s="4">
        <v>45267</v>
      </c>
      <c r="G219" s="1">
        <v>2</v>
      </c>
      <c r="H219" s="1">
        <v>3.5</v>
      </c>
      <c r="I219" t="s">
        <v>40</v>
      </c>
      <c r="J219" t="s">
        <v>2142</v>
      </c>
      <c r="K219" t="s">
        <v>14</v>
      </c>
      <c r="L219" s="1" t="str">
        <f t="shared" si="18"/>
        <v>2023</v>
      </c>
      <c r="M219" t="str">
        <f t="shared" si="19"/>
        <v>Nov</v>
      </c>
      <c r="N219" t="str">
        <f t="shared" si="20"/>
        <v>Thu</v>
      </c>
      <c r="O219" s="1">
        <f t="shared" si="21"/>
        <v>7</v>
      </c>
      <c r="P219" s="1">
        <f t="shared" si="22"/>
        <v>7</v>
      </c>
      <c r="Q219" s="1">
        <f>ROUND(G219*H219*VLOOKUP(D219,'Cost Product'!A$1:C$21,3,FALSE),0)</f>
        <v>3</v>
      </c>
      <c r="R219" s="1">
        <f t="shared" si="23"/>
        <v>4</v>
      </c>
    </row>
    <row r="220" spans="1:18" x14ac:dyDescent="0.25">
      <c r="A220" s="1" t="s">
        <v>475</v>
      </c>
      <c r="B220" t="s">
        <v>476</v>
      </c>
      <c r="C220" t="s">
        <v>26</v>
      </c>
      <c r="D220" t="s">
        <v>82</v>
      </c>
      <c r="E220" s="4">
        <v>45246</v>
      </c>
      <c r="F220" s="4">
        <v>45247</v>
      </c>
      <c r="G220" s="1">
        <v>1</v>
      </c>
      <c r="H220" s="1">
        <v>4.25</v>
      </c>
      <c r="I220" t="s">
        <v>13</v>
      </c>
      <c r="J220" t="s">
        <v>2145</v>
      </c>
      <c r="K220" t="s">
        <v>19</v>
      </c>
      <c r="L220" s="1" t="str">
        <f t="shared" si="18"/>
        <v>2023</v>
      </c>
      <c r="M220" t="str">
        <f t="shared" si="19"/>
        <v>Nov</v>
      </c>
      <c r="N220" t="str">
        <f t="shared" si="20"/>
        <v>Thu</v>
      </c>
      <c r="O220" s="1">
        <f t="shared" si="21"/>
        <v>1</v>
      </c>
      <c r="P220" s="1">
        <f t="shared" si="22"/>
        <v>4.25</v>
      </c>
      <c r="Q220" s="1">
        <f>ROUND(G220*H220*VLOOKUP(D220,'Cost Product'!A$1:C$21,3,FALSE),0)</f>
        <v>2</v>
      </c>
      <c r="R220" s="1">
        <f t="shared" si="23"/>
        <v>2.25</v>
      </c>
    </row>
    <row r="221" spans="1:18" x14ac:dyDescent="0.25">
      <c r="A221" s="1" t="s">
        <v>477</v>
      </c>
      <c r="B221" t="s">
        <v>478</v>
      </c>
      <c r="C221" t="s">
        <v>65</v>
      </c>
      <c r="D221" t="s">
        <v>120</v>
      </c>
      <c r="E221" s="4">
        <v>45561</v>
      </c>
      <c r="F221" s="4">
        <v>45562</v>
      </c>
      <c r="G221" s="1">
        <v>5</v>
      </c>
      <c r="H221" s="1">
        <v>3.75</v>
      </c>
      <c r="I221" t="s">
        <v>13</v>
      </c>
      <c r="J221" t="s">
        <v>2141</v>
      </c>
      <c r="K221" t="s">
        <v>28</v>
      </c>
      <c r="L221" s="1" t="str">
        <f t="shared" si="18"/>
        <v>2024</v>
      </c>
      <c r="M221" t="str">
        <f t="shared" si="19"/>
        <v>Sep</v>
      </c>
      <c r="N221" t="str">
        <f t="shared" si="20"/>
        <v>Thu</v>
      </c>
      <c r="O221" s="1">
        <f t="shared" si="21"/>
        <v>1</v>
      </c>
      <c r="P221" s="1">
        <f t="shared" si="22"/>
        <v>18.75</v>
      </c>
      <c r="Q221" s="1">
        <f>ROUND(G221*H221*VLOOKUP(D221,'Cost Product'!A$1:C$21,3,FALSE),0)</f>
        <v>9</v>
      </c>
      <c r="R221" s="1">
        <f t="shared" si="23"/>
        <v>9.75</v>
      </c>
    </row>
    <row r="222" spans="1:18" x14ac:dyDescent="0.25">
      <c r="A222" s="1" t="s">
        <v>479</v>
      </c>
      <c r="B222" t="s">
        <v>480</v>
      </c>
      <c r="C222" t="s">
        <v>17</v>
      </c>
      <c r="D222" t="s">
        <v>53</v>
      </c>
      <c r="E222" s="4">
        <v>45539</v>
      </c>
      <c r="F222" s="4">
        <v>45545</v>
      </c>
      <c r="G222" s="1">
        <v>1</v>
      </c>
      <c r="H222" s="1">
        <v>4.75</v>
      </c>
      <c r="I222" t="s">
        <v>13</v>
      </c>
      <c r="J222" t="s">
        <v>2141</v>
      </c>
      <c r="K222" t="s">
        <v>28</v>
      </c>
      <c r="L222" s="1" t="str">
        <f t="shared" si="18"/>
        <v>2024</v>
      </c>
      <c r="M222" t="str">
        <f t="shared" si="19"/>
        <v>Sep</v>
      </c>
      <c r="N222" t="str">
        <f t="shared" si="20"/>
        <v>Wed</v>
      </c>
      <c r="O222" s="1">
        <f t="shared" si="21"/>
        <v>6</v>
      </c>
      <c r="P222" s="1">
        <f t="shared" si="22"/>
        <v>4.75</v>
      </c>
      <c r="Q222" s="1">
        <f>ROUND(G222*H222*VLOOKUP(D222,'Cost Product'!A$1:C$21,3,FALSE),0)</f>
        <v>3</v>
      </c>
      <c r="R222" s="1">
        <f t="shared" si="23"/>
        <v>1.75</v>
      </c>
    </row>
    <row r="223" spans="1:18" x14ac:dyDescent="0.25">
      <c r="A223" s="1" t="s">
        <v>481</v>
      </c>
      <c r="B223" t="s">
        <v>482</v>
      </c>
      <c r="C223" t="s">
        <v>22</v>
      </c>
      <c r="D223" t="s">
        <v>23</v>
      </c>
      <c r="E223" s="4">
        <v>45471</v>
      </c>
      <c r="F223" s="4">
        <v>45474</v>
      </c>
      <c r="G223" s="1">
        <v>4</v>
      </c>
      <c r="H223" s="1">
        <v>10</v>
      </c>
      <c r="I223" t="s">
        <v>13</v>
      </c>
      <c r="J223" t="s">
        <v>2145</v>
      </c>
      <c r="K223" t="s">
        <v>14</v>
      </c>
      <c r="L223" s="1" t="str">
        <f t="shared" si="18"/>
        <v>2024</v>
      </c>
      <c r="M223" t="str">
        <f t="shared" si="19"/>
        <v>Jun</v>
      </c>
      <c r="N223" t="str">
        <f t="shared" si="20"/>
        <v>Fri</v>
      </c>
      <c r="O223" s="1">
        <f t="shared" si="21"/>
        <v>3</v>
      </c>
      <c r="P223" s="1">
        <f t="shared" si="22"/>
        <v>40</v>
      </c>
      <c r="Q223" s="1">
        <f>ROUND(G223*H223*VLOOKUP(D223,'Cost Product'!A$1:C$21,3,FALSE),0)</f>
        <v>26</v>
      </c>
      <c r="R223" s="1">
        <f t="shared" si="23"/>
        <v>14</v>
      </c>
    </row>
    <row r="224" spans="1:18" x14ac:dyDescent="0.25">
      <c r="A224" s="1" t="s">
        <v>483</v>
      </c>
      <c r="B224" t="s">
        <v>484</v>
      </c>
      <c r="C224" t="s">
        <v>11</v>
      </c>
      <c r="D224" t="s">
        <v>39</v>
      </c>
      <c r="E224" s="4">
        <v>45446</v>
      </c>
      <c r="F224" s="4">
        <v>45450</v>
      </c>
      <c r="G224" s="1">
        <v>3</v>
      </c>
      <c r="H224" s="1">
        <v>5.75</v>
      </c>
      <c r="I224" t="s">
        <v>40</v>
      </c>
      <c r="J224" t="s">
        <v>2145</v>
      </c>
      <c r="K224" t="s">
        <v>14</v>
      </c>
      <c r="L224" s="1" t="str">
        <f t="shared" si="18"/>
        <v>2024</v>
      </c>
      <c r="M224" t="str">
        <f t="shared" si="19"/>
        <v>Jun</v>
      </c>
      <c r="N224" t="str">
        <f t="shared" si="20"/>
        <v>Mon</v>
      </c>
      <c r="O224" s="1">
        <f t="shared" si="21"/>
        <v>4</v>
      </c>
      <c r="P224" s="1">
        <f t="shared" si="22"/>
        <v>17.25</v>
      </c>
      <c r="Q224" s="1">
        <f>ROUND(G224*H224*VLOOKUP(D224,'Cost Product'!A$1:C$21,3,FALSE),0)</f>
        <v>9</v>
      </c>
      <c r="R224" s="1">
        <f t="shared" si="23"/>
        <v>8.25</v>
      </c>
    </row>
    <row r="225" spans="1:18" x14ac:dyDescent="0.25">
      <c r="A225" s="1" t="s">
        <v>485</v>
      </c>
      <c r="B225" t="s">
        <v>486</v>
      </c>
      <c r="C225" t="s">
        <v>22</v>
      </c>
      <c r="D225" t="s">
        <v>23</v>
      </c>
      <c r="E225" s="4">
        <v>45583</v>
      </c>
      <c r="F225" s="4">
        <v>45588</v>
      </c>
      <c r="G225" s="1">
        <v>1</v>
      </c>
      <c r="H225" s="1">
        <v>10</v>
      </c>
      <c r="I225" t="s">
        <v>13</v>
      </c>
      <c r="J225" t="s">
        <v>2141</v>
      </c>
      <c r="K225" t="s">
        <v>28</v>
      </c>
      <c r="L225" s="1" t="str">
        <f t="shared" si="18"/>
        <v>2024</v>
      </c>
      <c r="M225" t="str">
        <f t="shared" si="19"/>
        <v>Oct</v>
      </c>
      <c r="N225" t="str">
        <f t="shared" si="20"/>
        <v>Fri</v>
      </c>
      <c r="O225" s="1">
        <f t="shared" si="21"/>
        <v>5</v>
      </c>
      <c r="P225" s="1">
        <f t="shared" si="22"/>
        <v>10</v>
      </c>
      <c r="Q225" s="1">
        <f>ROUND(G225*H225*VLOOKUP(D225,'Cost Product'!A$1:C$21,3,FALSE),0)</f>
        <v>7</v>
      </c>
      <c r="R225" s="1">
        <f t="shared" si="23"/>
        <v>3</v>
      </c>
    </row>
    <row r="226" spans="1:18" x14ac:dyDescent="0.25">
      <c r="A226" s="1" t="s">
        <v>487</v>
      </c>
      <c r="B226" t="s">
        <v>488</v>
      </c>
      <c r="C226" t="s">
        <v>26</v>
      </c>
      <c r="D226" t="s">
        <v>45</v>
      </c>
      <c r="E226" s="4">
        <v>45268</v>
      </c>
      <c r="F226" s="4">
        <v>45276</v>
      </c>
      <c r="G226" s="1">
        <v>4</v>
      </c>
      <c r="H226" s="1">
        <v>4.5</v>
      </c>
      <c r="I226" t="s">
        <v>13</v>
      </c>
      <c r="J226" t="s">
        <v>2142</v>
      </c>
      <c r="K226" t="s">
        <v>28</v>
      </c>
      <c r="L226" s="1" t="str">
        <f t="shared" si="18"/>
        <v>2023</v>
      </c>
      <c r="M226" t="str">
        <f t="shared" si="19"/>
        <v>Dec</v>
      </c>
      <c r="N226" t="str">
        <f t="shared" si="20"/>
        <v>Fri</v>
      </c>
      <c r="O226" s="1">
        <f t="shared" si="21"/>
        <v>8</v>
      </c>
      <c r="P226" s="1">
        <f t="shared" si="22"/>
        <v>18</v>
      </c>
      <c r="Q226" s="1">
        <f>ROUND(G226*H226*VLOOKUP(D226,'Cost Product'!A$1:C$21,3,FALSE),0)</f>
        <v>9</v>
      </c>
      <c r="R226" s="1">
        <f t="shared" si="23"/>
        <v>9</v>
      </c>
    </row>
    <row r="227" spans="1:18" x14ac:dyDescent="0.25">
      <c r="A227" s="1" t="s">
        <v>489</v>
      </c>
      <c r="B227" t="s">
        <v>490</v>
      </c>
      <c r="C227" t="s">
        <v>65</v>
      </c>
      <c r="D227" t="s">
        <v>99</v>
      </c>
      <c r="E227" s="4">
        <v>45214</v>
      </c>
      <c r="F227" s="4">
        <v>45218</v>
      </c>
      <c r="G227" s="1">
        <v>5</v>
      </c>
      <c r="H227" s="1">
        <v>4</v>
      </c>
      <c r="I227" t="s">
        <v>13</v>
      </c>
      <c r="J227" t="s">
        <v>2143</v>
      </c>
      <c r="K227" t="s">
        <v>28</v>
      </c>
      <c r="L227" s="1" t="str">
        <f t="shared" si="18"/>
        <v>2023</v>
      </c>
      <c r="M227" t="str">
        <f t="shared" si="19"/>
        <v>Oct</v>
      </c>
      <c r="N227" t="str">
        <f t="shared" si="20"/>
        <v>Sun</v>
      </c>
      <c r="O227" s="1">
        <f t="shared" si="21"/>
        <v>4</v>
      </c>
      <c r="P227" s="1">
        <f t="shared" si="22"/>
        <v>20</v>
      </c>
      <c r="Q227" s="1">
        <f>ROUND(G227*H227*VLOOKUP(D227,'Cost Product'!A$1:C$21,3,FALSE),0)</f>
        <v>10</v>
      </c>
      <c r="R227" s="1">
        <f t="shared" si="23"/>
        <v>10</v>
      </c>
    </row>
    <row r="228" spans="1:18" x14ac:dyDescent="0.25">
      <c r="A228" s="1" t="s">
        <v>491</v>
      </c>
      <c r="B228" t="s">
        <v>492</v>
      </c>
      <c r="C228" t="s">
        <v>17</v>
      </c>
      <c r="D228" t="s">
        <v>50</v>
      </c>
      <c r="E228" s="4">
        <v>45240</v>
      </c>
      <c r="F228" s="4">
        <v>45242</v>
      </c>
      <c r="G228" s="1">
        <v>4</v>
      </c>
      <c r="H228" s="1">
        <v>5.25</v>
      </c>
      <c r="I228" t="s">
        <v>13</v>
      </c>
      <c r="J228" t="s">
        <v>2144</v>
      </c>
      <c r="K228" t="s">
        <v>19</v>
      </c>
      <c r="L228" s="1" t="str">
        <f t="shared" si="18"/>
        <v>2023</v>
      </c>
      <c r="M228" t="str">
        <f t="shared" si="19"/>
        <v>Nov</v>
      </c>
      <c r="N228" t="str">
        <f t="shared" si="20"/>
        <v>Fri</v>
      </c>
      <c r="O228" s="1">
        <f t="shared" si="21"/>
        <v>2</v>
      </c>
      <c r="P228" s="1">
        <f t="shared" si="22"/>
        <v>21</v>
      </c>
      <c r="Q228" s="1">
        <f>ROUND(G228*H228*VLOOKUP(D228,'Cost Product'!A$1:C$21,3,FALSE),0)</f>
        <v>12</v>
      </c>
      <c r="R228" s="1">
        <f t="shared" si="23"/>
        <v>9</v>
      </c>
    </row>
    <row r="229" spans="1:18" x14ac:dyDescent="0.25">
      <c r="A229" s="1" t="s">
        <v>493</v>
      </c>
      <c r="B229" t="s">
        <v>494</v>
      </c>
      <c r="C229" t="s">
        <v>17</v>
      </c>
      <c r="D229" t="s">
        <v>53</v>
      </c>
      <c r="E229" s="4">
        <v>45520</v>
      </c>
      <c r="F229" s="4">
        <v>45521</v>
      </c>
      <c r="G229" s="1">
        <v>3</v>
      </c>
      <c r="H229" s="1">
        <v>4.75</v>
      </c>
      <c r="I229" t="s">
        <v>40</v>
      </c>
      <c r="J229" t="s">
        <v>2143</v>
      </c>
      <c r="K229" t="s">
        <v>14</v>
      </c>
      <c r="L229" s="1" t="str">
        <f t="shared" si="18"/>
        <v>2024</v>
      </c>
      <c r="M229" t="str">
        <f t="shared" si="19"/>
        <v>Aug</v>
      </c>
      <c r="N229" t="str">
        <f t="shared" si="20"/>
        <v>Fri</v>
      </c>
      <c r="O229" s="1">
        <f t="shared" si="21"/>
        <v>1</v>
      </c>
      <c r="P229" s="1">
        <f t="shared" si="22"/>
        <v>14.25</v>
      </c>
      <c r="Q229" s="1">
        <f>ROUND(G229*H229*VLOOKUP(D229,'Cost Product'!A$1:C$21,3,FALSE),0)</f>
        <v>8</v>
      </c>
      <c r="R229" s="1">
        <f t="shared" si="23"/>
        <v>6.25</v>
      </c>
    </row>
    <row r="230" spans="1:18" x14ac:dyDescent="0.25">
      <c r="A230" s="1" t="s">
        <v>495</v>
      </c>
      <c r="B230" t="s">
        <v>496</v>
      </c>
      <c r="C230" t="s">
        <v>26</v>
      </c>
      <c r="D230" t="s">
        <v>45</v>
      </c>
      <c r="E230" s="4">
        <v>45560</v>
      </c>
      <c r="F230" s="4">
        <v>45572</v>
      </c>
      <c r="G230" s="1">
        <v>1</v>
      </c>
      <c r="H230" s="1">
        <v>4.5</v>
      </c>
      <c r="I230" t="s">
        <v>13</v>
      </c>
      <c r="J230" t="s">
        <v>2141</v>
      </c>
      <c r="K230" t="s">
        <v>19</v>
      </c>
      <c r="L230" s="1" t="str">
        <f t="shared" si="18"/>
        <v>2024</v>
      </c>
      <c r="M230" t="str">
        <f t="shared" si="19"/>
        <v>Sep</v>
      </c>
      <c r="N230" t="str">
        <f t="shared" si="20"/>
        <v>Wed</v>
      </c>
      <c r="O230" s="1">
        <f t="shared" si="21"/>
        <v>12</v>
      </c>
      <c r="P230" s="1">
        <f t="shared" si="22"/>
        <v>4.5</v>
      </c>
      <c r="Q230" s="1">
        <f>ROUND(G230*H230*VLOOKUP(D230,'Cost Product'!A$1:C$21,3,FALSE),0)</f>
        <v>2</v>
      </c>
      <c r="R230" s="1">
        <f t="shared" si="23"/>
        <v>2.5</v>
      </c>
    </row>
    <row r="231" spans="1:18" x14ac:dyDescent="0.25">
      <c r="A231" s="1" t="s">
        <v>497</v>
      </c>
      <c r="B231" t="s">
        <v>498</v>
      </c>
      <c r="C231" t="s">
        <v>22</v>
      </c>
      <c r="D231" t="s">
        <v>59</v>
      </c>
      <c r="E231" s="4">
        <v>45438</v>
      </c>
      <c r="F231" s="4">
        <v>45441</v>
      </c>
      <c r="G231" s="1">
        <v>3</v>
      </c>
      <c r="H231" s="1">
        <v>8.5</v>
      </c>
      <c r="I231" t="s">
        <v>13</v>
      </c>
      <c r="J231" t="s">
        <v>2145</v>
      </c>
      <c r="K231" t="s">
        <v>19</v>
      </c>
      <c r="L231" s="1" t="str">
        <f t="shared" si="18"/>
        <v>2024</v>
      </c>
      <c r="M231" t="str">
        <f t="shared" si="19"/>
        <v>May</v>
      </c>
      <c r="N231" t="str">
        <f t="shared" si="20"/>
        <v>Sun</v>
      </c>
      <c r="O231" s="1">
        <f t="shared" si="21"/>
        <v>3</v>
      </c>
      <c r="P231" s="1">
        <f t="shared" si="22"/>
        <v>25.5</v>
      </c>
      <c r="Q231" s="1">
        <f>ROUND(G231*H231*VLOOKUP(D231,'Cost Product'!A$1:C$21,3,FALSE),0)</f>
        <v>15</v>
      </c>
      <c r="R231" s="1">
        <f t="shared" si="23"/>
        <v>10.5</v>
      </c>
    </row>
    <row r="232" spans="1:18" x14ac:dyDescent="0.25">
      <c r="A232" s="1" t="s">
        <v>499</v>
      </c>
      <c r="B232" t="s">
        <v>500</v>
      </c>
      <c r="C232" t="s">
        <v>17</v>
      </c>
      <c r="D232" t="s">
        <v>53</v>
      </c>
      <c r="E232" s="4">
        <v>45178</v>
      </c>
      <c r="F232" s="4">
        <v>45181</v>
      </c>
      <c r="G232" s="1">
        <v>1</v>
      </c>
      <c r="H232" s="1">
        <v>4.75</v>
      </c>
      <c r="I232" t="s">
        <v>13</v>
      </c>
      <c r="J232" t="s">
        <v>2141</v>
      </c>
      <c r="K232" t="s">
        <v>19</v>
      </c>
      <c r="L232" s="1" t="str">
        <f t="shared" si="18"/>
        <v>2023</v>
      </c>
      <c r="M232" t="str">
        <f t="shared" si="19"/>
        <v>Sep</v>
      </c>
      <c r="N232" t="str">
        <f t="shared" si="20"/>
        <v>Sat</v>
      </c>
      <c r="O232" s="1">
        <f t="shared" si="21"/>
        <v>3</v>
      </c>
      <c r="P232" s="1">
        <f t="shared" si="22"/>
        <v>4.75</v>
      </c>
      <c r="Q232" s="1">
        <f>ROUND(G232*H232*VLOOKUP(D232,'Cost Product'!A$1:C$21,3,FALSE),0)</f>
        <v>3</v>
      </c>
      <c r="R232" s="1">
        <f t="shared" si="23"/>
        <v>1.75</v>
      </c>
    </row>
    <row r="233" spans="1:18" x14ac:dyDescent="0.25">
      <c r="A233" s="1" t="s">
        <v>501</v>
      </c>
      <c r="B233" t="s">
        <v>502</v>
      </c>
      <c r="C233" t="s">
        <v>65</v>
      </c>
      <c r="D233" t="s">
        <v>115</v>
      </c>
      <c r="E233" s="4">
        <v>45115</v>
      </c>
      <c r="F233" s="4">
        <v>45126</v>
      </c>
      <c r="G233" s="1">
        <v>5</v>
      </c>
      <c r="H233" s="1">
        <v>3</v>
      </c>
      <c r="I233" t="s">
        <v>13</v>
      </c>
      <c r="J233" t="s">
        <v>2141</v>
      </c>
      <c r="K233" t="s">
        <v>19</v>
      </c>
      <c r="L233" s="1" t="str">
        <f t="shared" si="18"/>
        <v>2023</v>
      </c>
      <c r="M233" t="str">
        <f t="shared" si="19"/>
        <v>Jul</v>
      </c>
      <c r="N233" t="str">
        <f t="shared" si="20"/>
        <v>Sat</v>
      </c>
      <c r="O233" s="1">
        <f t="shared" si="21"/>
        <v>11</v>
      </c>
      <c r="P233" s="1">
        <f t="shared" si="22"/>
        <v>15</v>
      </c>
      <c r="Q233" s="1">
        <f>ROUND(G233*H233*VLOOKUP(D233,'Cost Product'!A$1:C$21,3,FALSE),0)</f>
        <v>7</v>
      </c>
      <c r="R233" s="1">
        <f t="shared" si="23"/>
        <v>8</v>
      </c>
    </row>
    <row r="234" spans="1:18" x14ac:dyDescent="0.25">
      <c r="A234" s="1" t="s">
        <v>503</v>
      </c>
      <c r="B234" t="s">
        <v>504</v>
      </c>
      <c r="C234" t="s">
        <v>65</v>
      </c>
      <c r="D234" t="s">
        <v>120</v>
      </c>
      <c r="E234" s="4">
        <v>45569</v>
      </c>
      <c r="F234" s="4">
        <v>45573</v>
      </c>
      <c r="G234" s="1">
        <v>1</v>
      </c>
      <c r="H234" s="1">
        <v>3.75</v>
      </c>
      <c r="I234" t="s">
        <v>13</v>
      </c>
      <c r="J234" t="s">
        <v>2141</v>
      </c>
      <c r="K234" t="s">
        <v>28</v>
      </c>
      <c r="L234" s="1" t="str">
        <f t="shared" si="18"/>
        <v>2024</v>
      </c>
      <c r="M234" t="str">
        <f t="shared" si="19"/>
        <v>Oct</v>
      </c>
      <c r="N234" t="str">
        <f t="shared" si="20"/>
        <v>Fri</v>
      </c>
      <c r="O234" s="1">
        <f t="shared" si="21"/>
        <v>4</v>
      </c>
      <c r="P234" s="1">
        <f t="shared" si="22"/>
        <v>3.75</v>
      </c>
      <c r="Q234" s="1">
        <f>ROUND(G234*H234*VLOOKUP(D234,'Cost Product'!A$1:C$21,3,FALSE),0)</f>
        <v>2</v>
      </c>
      <c r="R234" s="1">
        <f t="shared" si="23"/>
        <v>1.75</v>
      </c>
    </row>
    <row r="235" spans="1:18" x14ac:dyDescent="0.25">
      <c r="A235" s="1" t="s">
        <v>505</v>
      </c>
      <c r="B235" t="s">
        <v>506</v>
      </c>
      <c r="C235" t="s">
        <v>26</v>
      </c>
      <c r="D235" t="s">
        <v>82</v>
      </c>
      <c r="E235" s="4">
        <v>45581</v>
      </c>
      <c r="F235" s="4">
        <v>45583</v>
      </c>
      <c r="G235" s="1">
        <v>1</v>
      </c>
      <c r="H235" s="1">
        <v>4.25</v>
      </c>
      <c r="I235" t="s">
        <v>40</v>
      </c>
      <c r="J235" t="s">
        <v>2143</v>
      </c>
      <c r="K235" t="s">
        <v>19</v>
      </c>
      <c r="L235" s="1" t="str">
        <f t="shared" si="18"/>
        <v>2024</v>
      </c>
      <c r="M235" t="str">
        <f t="shared" si="19"/>
        <v>Oct</v>
      </c>
      <c r="N235" t="str">
        <f t="shared" si="20"/>
        <v>Wed</v>
      </c>
      <c r="O235" s="1">
        <f t="shared" si="21"/>
        <v>2</v>
      </c>
      <c r="P235" s="1">
        <f t="shared" si="22"/>
        <v>4.25</v>
      </c>
      <c r="Q235" s="1">
        <f>ROUND(G235*H235*VLOOKUP(D235,'Cost Product'!A$1:C$21,3,FALSE),0)</f>
        <v>2</v>
      </c>
      <c r="R235" s="1">
        <f t="shared" si="23"/>
        <v>2.25</v>
      </c>
    </row>
    <row r="236" spans="1:18" x14ac:dyDescent="0.25">
      <c r="A236" s="1" t="s">
        <v>507</v>
      </c>
      <c r="B236" t="s">
        <v>508</v>
      </c>
      <c r="C236" t="s">
        <v>22</v>
      </c>
      <c r="D236" t="s">
        <v>59</v>
      </c>
      <c r="E236" s="4">
        <v>45546</v>
      </c>
      <c r="F236" s="4">
        <v>45553</v>
      </c>
      <c r="G236" s="1">
        <v>2</v>
      </c>
      <c r="H236" s="1">
        <v>8.5</v>
      </c>
      <c r="I236" t="s">
        <v>13</v>
      </c>
      <c r="J236" t="s">
        <v>2144</v>
      </c>
      <c r="K236" t="s">
        <v>28</v>
      </c>
      <c r="L236" s="1" t="str">
        <f t="shared" si="18"/>
        <v>2024</v>
      </c>
      <c r="M236" t="str">
        <f t="shared" si="19"/>
        <v>Sep</v>
      </c>
      <c r="N236" t="str">
        <f t="shared" si="20"/>
        <v>Wed</v>
      </c>
      <c r="O236" s="1">
        <f t="shared" si="21"/>
        <v>7</v>
      </c>
      <c r="P236" s="1">
        <f t="shared" si="22"/>
        <v>17</v>
      </c>
      <c r="Q236" s="1">
        <f>ROUND(G236*H236*VLOOKUP(D236,'Cost Product'!A$1:C$21,3,FALSE),0)</f>
        <v>10</v>
      </c>
      <c r="R236" s="1">
        <f t="shared" si="23"/>
        <v>7</v>
      </c>
    </row>
    <row r="237" spans="1:18" x14ac:dyDescent="0.25">
      <c r="A237" s="1" t="s">
        <v>509</v>
      </c>
      <c r="B237" t="s">
        <v>510</v>
      </c>
      <c r="C237" t="s">
        <v>22</v>
      </c>
      <c r="D237" t="s">
        <v>59</v>
      </c>
      <c r="E237" s="4">
        <v>45201</v>
      </c>
      <c r="F237" s="4">
        <v>45213</v>
      </c>
      <c r="G237" s="1">
        <v>1</v>
      </c>
      <c r="H237" s="1">
        <v>8.5</v>
      </c>
      <c r="I237" t="s">
        <v>13</v>
      </c>
      <c r="J237" t="s">
        <v>2144</v>
      </c>
      <c r="K237" t="s">
        <v>28</v>
      </c>
      <c r="L237" s="1" t="str">
        <f t="shared" si="18"/>
        <v>2023</v>
      </c>
      <c r="M237" t="str">
        <f t="shared" si="19"/>
        <v>Oct</v>
      </c>
      <c r="N237" t="str">
        <f t="shared" si="20"/>
        <v>Mon</v>
      </c>
      <c r="O237" s="1">
        <f t="shared" si="21"/>
        <v>12</v>
      </c>
      <c r="P237" s="1">
        <f t="shared" si="22"/>
        <v>8.5</v>
      </c>
      <c r="Q237" s="1">
        <f>ROUND(G237*H237*VLOOKUP(D237,'Cost Product'!A$1:C$21,3,FALSE),0)</f>
        <v>5</v>
      </c>
      <c r="R237" s="1">
        <f t="shared" si="23"/>
        <v>3.5</v>
      </c>
    </row>
    <row r="238" spans="1:18" x14ac:dyDescent="0.25">
      <c r="A238" s="1" t="s">
        <v>511</v>
      </c>
      <c r="B238" t="s">
        <v>512</v>
      </c>
      <c r="C238" t="s">
        <v>22</v>
      </c>
      <c r="D238" t="s">
        <v>23</v>
      </c>
      <c r="E238" s="4">
        <v>45269</v>
      </c>
      <c r="F238" s="4">
        <v>45272</v>
      </c>
      <c r="G238" s="1">
        <v>1</v>
      </c>
      <c r="H238" s="1">
        <v>10</v>
      </c>
      <c r="I238" t="s">
        <v>13</v>
      </c>
      <c r="J238" t="s">
        <v>2145</v>
      </c>
      <c r="K238" t="s">
        <v>14</v>
      </c>
      <c r="L238" s="1" t="str">
        <f t="shared" si="18"/>
        <v>2023</v>
      </c>
      <c r="M238" t="str">
        <f t="shared" si="19"/>
        <v>Dec</v>
      </c>
      <c r="N238" t="str">
        <f t="shared" si="20"/>
        <v>Sat</v>
      </c>
      <c r="O238" s="1">
        <f t="shared" si="21"/>
        <v>3</v>
      </c>
      <c r="P238" s="1">
        <f t="shared" si="22"/>
        <v>10</v>
      </c>
      <c r="Q238" s="1">
        <f>ROUND(G238*H238*VLOOKUP(D238,'Cost Product'!A$1:C$21,3,FALSE),0)</f>
        <v>7</v>
      </c>
      <c r="R238" s="1">
        <f t="shared" si="23"/>
        <v>3</v>
      </c>
    </row>
    <row r="239" spans="1:18" x14ac:dyDescent="0.25">
      <c r="A239" s="1" t="s">
        <v>513</v>
      </c>
      <c r="B239" t="s">
        <v>514</v>
      </c>
      <c r="C239" t="s">
        <v>65</v>
      </c>
      <c r="D239" t="s">
        <v>120</v>
      </c>
      <c r="E239" s="4">
        <v>45428</v>
      </c>
      <c r="F239" s="4">
        <v>45429</v>
      </c>
      <c r="G239" s="1">
        <v>3</v>
      </c>
      <c r="H239" s="1">
        <v>3.75</v>
      </c>
      <c r="I239" t="s">
        <v>13</v>
      </c>
      <c r="J239" t="s">
        <v>2142</v>
      </c>
      <c r="K239" t="s">
        <v>19</v>
      </c>
      <c r="L239" s="1" t="str">
        <f t="shared" si="18"/>
        <v>2024</v>
      </c>
      <c r="M239" t="str">
        <f t="shared" si="19"/>
        <v>May</v>
      </c>
      <c r="N239" t="str">
        <f t="shared" si="20"/>
        <v>Thu</v>
      </c>
      <c r="O239" s="1">
        <f t="shared" si="21"/>
        <v>1</v>
      </c>
      <c r="P239" s="1">
        <f t="shared" si="22"/>
        <v>11.25</v>
      </c>
      <c r="Q239" s="1">
        <f>ROUND(G239*H239*VLOOKUP(D239,'Cost Product'!A$1:C$21,3,FALSE),0)</f>
        <v>6</v>
      </c>
      <c r="R239" s="1">
        <f t="shared" si="23"/>
        <v>5.25</v>
      </c>
    </row>
    <row r="240" spans="1:18" x14ac:dyDescent="0.25">
      <c r="A240" s="1" t="s">
        <v>515</v>
      </c>
      <c r="B240" t="s">
        <v>516</v>
      </c>
      <c r="C240" t="s">
        <v>26</v>
      </c>
      <c r="D240" t="s">
        <v>82</v>
      </c>
      <c r="E240" s="4">
        <v>45132</v>
      </c>
      <c r="F240" s="4">
        <v>45137</v>
      </c>
      <c r="G240" s="1">
        <v>4</v>
      </c>
      <c r="H240" s="1">
        <v>4.25</v>
      </c>
      <c r="I240" t="s">
        <v>13</v>
      </c>
      <c r="J240" t="s">
        <v>2142</v>
      </c>
      <c r="K240" t="s">
        <v>28</v>
      </c>
      <c r="L240" s="1" t="str">
        <f t="shared" si="18"/>
        <v>2023</v>
      </c>
      <c r="M240" t="str">
        <f t="shared" si="19"/>
        <v>Jul</v>
      </c>
      <c r="N240" t="str">
        <f t="shared" si="20"/>
        <v>Tue</v>
      </c>
      <c r="O240" s="1">
        <f t="shared" si="21"/>
        <v>5</v>
      </c>
      <c r="P240" s="1">
        <f t="shared" si="22"/>
        <v>17</v>
      </c>
      <c r="Q240" s="1">
        <f>ROUND(G240*H240*VLOOKUP(D240,'Cost Product'!A$1:C$21,3,FALSE),0)</f>
        <v>8</v>
      </c>
      <c r="R240" s="1">
        <f t="shared" si="23"/>
        <v>9</v>
      </c>
    </row>
    <row r="241" spans="1:18" x14ac:dyDescent="0.25">
      <c r="A241" s="1" t="s">
        <v>517</v>
      </c>
      <c r="B241" t="s">
        <v>518</v>
      </c>
      <c r="C241" t="s">
        <v>26</v>
      </c>
      <c r="D241" t="s">
        <v>45</v>
      </c>
      <c r="E241" s="4">
        <v>45323</v>
      </c>
      <c r="F241" s="4">
        <v>45328</v>
      </c>
      <c r="G241" s="1">
        <v>2</v>
      </c>
      <c r="H241" s="1">
        <v>4.5</v>
      </c>
      <c r="I241" t="s">
        <v>13</v>
      </c>
      <c r="J241" t="s">
        <v>2141</v>
      </c>
      <c r="K241" t="s">
        <v>28</v>
      </c>
      <c r="L241" s="1" t="str">
        <f t="shared" si="18"/>
        <v>2024</v>
      </c>
      <c r="M241" t="str">
        <f t="shared" si="19"/>
        <v>Feb</v>
      </c>
      <c r="N241" t="str">
        <f t="shared" si="20"/>
        <v>Thu</v>
      </c>
      <c r="O241" s="1">
        <f t="shared" si="21"/>
        <v>5</v>
      </c>
      <c r="P241" s="1">
        <f t="shared" si="22"/>
        <v>9</v>
      </c>
      <c r="Q241" s="1">
        <f>ROUND(G241*H241*VLOOKUP(D241,'Cost Product'!A$1:C$21,3,FALSE),0)</f>
        <v>5</v>
      </c>
      <c r="R241" s="1">
        <f t="shared" si="23"/>
        <v>4</v>
      </c>
    </row>
    <row r="242" spans="1:18" x14ac:dyDescent="0.25">
      <c r="A242" s="1" t="s">
        <v>519</v>
      </c>
      <c r="B242" t="s">
        <v>520</v>
      </c>
      <c r="C242" t="s">
        <v>22</v>
      </c>
      <c r="D242" t="s">
        <v>56</v>
      </c>
      <c r="E242" s="4">
        <v>45278</v>
      </c>
      <c r="F242" s="4">
        <v>45283</v>
      </c>
      <c r="G242" s="1">
        <v>5</v>
      </c>
      <c r="H242" s="1">
        <v>8.75</v>
      </c>
      <c r="I242" t="s">
        <v>13</v>
      </c>
      <c r="J242" t="s">
        <v>2141</v>
      </c>
      <c r="K242" t="s">
        <v>28</v>
      </c>
      <c r="L242" s="1" t="str">
        <f t="shared" si="18"/>
        <v>2023</v>
      </c>
      <c r="M242" t="str">
        <f t="shared" si="19"/>
        <v>Dec</v>
      </c>
      <c r="N242" t="str">
        <f t="shared" si="20"/>
        <v>Mon</v>
      </c>
      <c r="O242" s="1">
        <f t="shared" si="21"/>
        <v>5</v>
      </c>
      <c r="P242" s="1">
        <f t="shared" si="22"/>
        <v>43.75</v>
      </c>
      <c r="Q242" s="1">
        <f>ROUND(G242*H242*VLOOKUP(D242,'Cost Product'!A$1:C$21,3,FALSE),0)</f>
        <v>25</v>
      </c>
      <c r="R242" s="1">
        <f t="shared" si="23"/>
        <v>18.75</v>
      </c>
    </row>
    <row r="243" spans="1:18" x14ac:dyDescent="0.25">
      <c r="A243" s="1" t="s">
        <v>521</v>
      </c>
      <c r="B243" t="s">
        <v>522</v>
      </c>
      <c r="C243" t="s">
        <v>17</v>
      </c>
      <c r="D243" t="s">
        <v>79</v>
      </c>
      <c r="E243" s="4">
        <v>45128</v>
      </c>
      <c r="F243" s="4">
        <v>45130</v>
      </c>
      <c r="G243" s="1">
        <v>5</v>
      </c>
      <c r="H243" s="1">
        <v>5</v>
      </c>
      <c r="I243" t="s">
        <v>13</v>
      </c>
      <c r="J243" t="s">
        <v>2144</v>
      </c>
      <c r="K243" t="s">
        <v>19</v>
      </c>
      <c r="L243" s="1" t="str">
        <f t="shared" si="18"/>
        <v>2023</v>
      </c>
      <c r="M243" t="str">
        <f t="shared" si="19"/>
        <v>Jul</v>
      </c>
      <c r="N243" t="str">
        <f t="shared" si="20"/>
        <v>Fri</v>
      </c>
      <c r="O243" s="1">
        <f t="shared" si="21"/>
        <v>2</v>
      </c>
      <c r="P243" s="1">
        <f t="shared" si="22"/>
        <v>25</v>
      </c>
      <c r="Q243" s="1">
        <f>ROUND(G243*H243*VLOOKUP(D243,'Cost Product'!A$1:C$21,3,FALSE),0)</f>
        <v>14</v>
      </c>
      <c r="R243" s="1">
        <f t="shared" si="23"/>
        <v>11</v>
      </c>
    </row>
    <row r="244" spans="1:18" x14ac:dyDescent="0.25">
      <c r="A244" s="1" t="s">
        <v>523</v>
      </c>
      <c r="B244" t="s">
        <v>524</v>
      </c>
      <c r="C244" t="s">
        <v>65</v>
      </c>
      <c r="D244" t="s">
        <v>66</v>
      </c>
      <c r="E244" s="4">
        <v>45145</v>
      </c>
      <c r="F244" s="4">
        <v>45151</v>
      </c>
      <c r="G244" s="1">
        <v>4</v>
      </c>
      <c r="H244" s="1">
        <v>3.5</v>
      </c>
      <c r="I244" t="s">
        <v>13</v>
      </c>
      <c r="J244" t="s">
        <v>2141</v>
      </c>
      <c r="K244" t="s">
        <v>28</v>
      </c>
      <c r="L244" s="1" t="str">
        <f t="shared" si="18"/>
        <v>2023</v>
      </c>
      <c r="M244" t="str">
        <f t="shared" si="19"/>
        <v>Aug</v>
      </c>
      <c r="N244" t="str">
        <f t="shared" si="20"/>
        <v>Mon</v>
      </c>
      <c r="O244" s="1">
        <f t="shared" si="21"/>
        <v>6</v>
      </c>
      <c r="P244" s="1">
        <f t="shared" si="22"/>
        <v>14</v>
      </c>
      <c r="Q244" s="1">
        <f>ROUND(G244*H244*VLOOKUP(D244,'Cost Product'!A$1:C$21,3,FALSE),0)</f>
        <v>7</v>
      </c>
      <c r="R244" s="1">
        <f t="shared" si="23"/>
        <v>7</v>
      </c>
    </row>
    <row r="245" spans="1:18" x14ac:dyDescent="0.25">
      <c r="A245" s="1" t="s">
        <v>525</v>
      </c>
      <c r="B245" t="s">
        <v>526</v>
      </c>
      <c r="C245" t="s">
        <v>11</v>
      </c>
      <c r="D245" t="s">
        <v>36</v>
      </c>
      <c r="E245" s="4">
        <v>45151</v>
      </c>
      <c r="F245" s="4">
        <v>45153</v>
      </c>
      <c r="G245" s="1">
        <v>5</v>
      </c>
      <c r="H245" s="1">
        <v>6.25</v>
      </c>
      <c r="I245" t="s">
        <v>13</v>
      </c>
      <c r="J245" t="s">
        <v>2144</v>
      </c>
      <c r="K245" t="s">
        <v>19</v>
      </c>
      <c r="L245" s="1" t="str">
        <f t="shared" si="18"/>
        <v>2023</v>
      </c>
      <c r="M245" t="str">
        <f t="shared" si="19"/>
        <v>Aug</v>
      </c>
      <c r="N245" t="str">
        <f t="shared" si="20"/>
        <v>Sun</v>
      </c>
      <c r="O245" s="1">
        <f t="shared" si="21"/>
        <v>2</v>
      </c>
      <c r="P245" s="1">
        <f t="shared" si="22"/>
        <v>31.25</v>
      </c>
      <c r="Q245" s="1">
        <f>ROUND(G245*H245*VLOOKUP(D245,'Cost Product'!A$1:C$21,3,FALSE),0)</f>
        <v>17</v>
      </c>
      <c r="R245" s="1">
        <f t="shared" si="23"/>
        <v>14.25</v>
      </c>
    </row>
    <row r="246" spans="1:18" x14ac:dyDescent="0.25">
      <c r="A246" s="1" t="s">
        <v>527</v>
      </c>
      <c r="B246" t="s">
        <v>528</v>
      </c>
      <c r="C246" t="s">
        <v>22</v>
      </c>
      <c r="D246" t="s">
        <v>23</v>
      </c>
      <c r="E246" s="4">
        <v>45305</v>
      </c>
      <c r="F246" s="4">
        <v>45309</v>
      </c>
      <c r="G246" s="1">
        <v>5</v>
      </c>
      <c r="H246" s="1">
        <v>10</v>
      </c>
      <c r="I246" t="s">
        <v>40</v>
      </c>
      <c r="J246" t="s">
        <v>2146</v>
      </c>
      <c r="K246" t="s">
        <v>19</v>
      </c>
      <c r="L246" s="1" t="str">
        <f t="shared" si="18"/>
        <v>2024</v>
      </c>
      <c r="M246" t="str">
        <f t="shared" si="19"/>
        <v>Jan</v>
      </c>
      <c r="N246" t="str">
        <f t="shared" si="20"/>
        <v>Sun</v>
      </c>
      <c r="O246" s="1">
        <f t="shared" si="21"/>
        <v>4</v>
      </c>
      <c r="P246" s="1">
        <f t="shared" si="22"/>
        <v>50</v>
      </c>
      <c r="Q246" s="1">
        <f>ROUND(G246*H246*VLOOKUP(D246,'Cost Product'!A$1:C$21,3,FALSE),0)</f>
        <v>33</v>
      </c>
      <c r="R246" s="1">
        <f t="shared" si="23"/>
        <v>17</v>
      </c>
    </row>
    <row r="247" spans="1:18" x14ac:dyDescent="0.25">
      <c r="A247" s="1" t="s">
        <v>529</v>
      </c>
      <c r="B247" t="s">
        <v>530</v>
      </c>
      <c r="C247" t="s">
        <v>22</v>
      </c>
      <c r="D247" t="s">
        <v>23</v>
      </c>
      <c r="E247" s="4">
        <v>45411</v>
      </c>
      <c r="F247" s="4">
        <v>45413</v>
      </c>
      <c r="G247" s="1">
        <v>3</v>
      </c>
      <c r="H247" s="1">
        <v>10</v>
      </c>
      <c r="I247" t="s">
        <v>13</v>
      </c>
      <c r="J247" t="s">
        <v>2141</v>
      </c>
      <c r="K247" t="s">
        <v>28</v>
      </c>
      <c r="L247" s="1" t="str">
        <f t="shared" si="18"/>
        <v>2024</v>
      </c>
      <c r="M247" t="str">
        <f t="shared" si="19"/>
        <v>Apr</v>
      </c>
      <c r="N247" t="str">
        <f t="shared" si="20"/>
        <v>Mon</v>
      </c>
      <c r="O247" s="1">
        <f t="shared" si="21"/>
        <v>2</v>
      </c>
      <c r="P247" s="1">
        <f t="shared" si="22"/>
        <v>30</v>
      </c>
      <c r="Q247" s="1">
        <f>ROUND(G247*H247*VLOOKUP(D247,'Cost Product'!A$1:C$21,3,FALSE),0)</f>
        <v>20</v>
      </c>
      <c r="R247" s="1">
        <f t="shared" si="23"/>
        <v>10</v>
      </c>
    </row>
    <row r="248" spans="1:18" x14ac:dyDescent="0.25">
      <c r="A248" s="1" t="s">
        <v>531</v>
      </c>
      <c r="B248" t="s">
        <v>532</v>
      </c>
      <c r="C248" t="s">
        <v>11</v>
      </c>
      <c r="D248" t="s">
        <v>39</v>
      </c>
      <c r="E248" s="4">
        <v>45575</v>
      </c>
      <c r="F248" s="4">
        <v>45577</v>
      </c>
      <c r="G248" s="1">
        <v>1</v>
      </c>
      <c r="H248" s="1">
        <v>5.75</v>
      </c>
      <c r="I248" t="s">
        <v>13</v>
      </c>
      <c r="J248" t="s">
        <v>2141</v>
      </c>
      <c r="K248" t="s">
        <v>28</v>
      </c>
      <c r="L248" s="1" t="str">
        <f t="shared" si="18"/>
        <v>2024</v>
      </c>
      <c r="M248" t="str">
        <f t="shared" si="19"/>
        <v>Oct</v>
      </c>
      <c r="N248" t="str">
        <f t="shared" si="20"/>
        <v>Thu</v>
      </c>
      <c r="O248" s="1">
        <f t="shared" si="21"/>
        <v>2</v>
      </c>
      <c r="P248" s="1">
        <f t="shared" si="22"/>
        <v>5.75</v>
      </c>
      <c r="Q248" s="1">
        <f>ROUND(G248*H248*VLOOKUP(D248,'Cost Product'!A$1:C$21,3,FALSE),0)</f>
        <v>3</v>
      </c>
      <c r="R248" s="1">
        <f t="shared" si="23"/>
        <v>2.75</v>
      </c>
    </row>
    <row r="249" spans="1:18" x14ac:dyDescent="0.25">
      <c r="A249" s="1" t="s">
        <v>533</v>
      </c>
      <c r="B249" t="s">
        <v>534</v>
      </c>
      <c r="C249" t="s">
        <v>22</v>
      </c>
      <c r="D249" t="s">
        <v>23</v>
      </c>
      <c r="E249" s="4">
        <v>45198</v>
      </c>
      <c r="F249" s="4">
        <v>45199</v>
      </c>
      <c r="G249" s="1">
        <v>1</v>
      </c>
      <c r="H249" s="1">
        <v>10</v>
      </c>
      <c r="I249" t="s">
        <v>13</v>
      </c>
      <c r="J249" t="s">
        <v>2145</v>
      </c>
      <c r="K249" t="s">
        <v>28</v>
      </c>
      <c r="L249" s="1" t="str">
        <f t="shared" si="18"/>
        <v>2023</v>
      </c>
      <c r="M249" t="str">
        <f t="shared" si="19"/>
        <v>Sep</v>
      </c>
      <c r="N249" t="str">
        <f t="shared" si="20"/>
        <v>Fri</v>
      </c>
      <c r="O249" s="1">
        <f t="shared" si="21"/>
        <v>1</v>
      </c>
      <c r="P249" s="1">
        <f t="shared" si="22"/>
        <v>10</v>
      </c>
      <c r="Q249" s="1">
        <f>ROUND(G249*H249*VLOOKUP(D249,'Cost Product'!A$1:C$21,3,FALSE),0)</f>
        <v>7</v>
      </c>
      <c r="R249" s="1">
        <f t="shared" si="23"/>
        <v>3</v>
      </c>
    </row>
    <row r="250" spans="1:18" x14ac:dyDescent="0.25">
      <c r="A250" s="1" t="s">
        <v>535</v>
      </c>
      <c r="B250" t="s">
        <v>536</v>
      </c>
      <c r="C250" t="s">
        <v>11</v>
      </c>
      <c r="D250" t="s">
        <v>36</v>
      </c>
      <c r="E250" s="4">
        <v>45225</v>
      </c>
      <c r="F250" s="4">
        <v>45229</v>
      </c>
      <c r="G250" s="1">
        <v>1</v>
      </c>
      <c r="H250" s="1">
        <v>6.25</v>
      </c>
      <c r="I250" t="s">
        <v>13</v>
      </c>
      <c r="J250" t="s">
        <v>2141</v>
      </c>
      <c r="K250" t="s">
        <v>28</v>
      </c>
      <c r="L250" s="1" t="str">
        <f t="shared" si="18"/>
        <v>2023</v>
      </c>
      <c r="M250" t="str">
        <f t="shared" si="19"/>
        <v>Oct</v>
      </c>
      <c r="N250" t="str">
        <f t="shared" si="20"/>
        <v>Thu</v>
      </c>
      <c r="O250" s="1">
        <f t="shared" si="21"/>
        <v>4</v>
      </c>
      <c r="P250" s="1">
        <f t="shared" si="22"/>
        <v>6.25</v>
      </c>
      <c r="Q250" s="1">
        <f>ROUND(G250*H250*VLOOKUP(D250,'Cost Product'!A$1:C$21,3,FALSE),0)</f>
        <v>3</v>
      </c>
      <c r="R250" s="1">
        <f t="shared" si="23"/>
        <v>3.25</v>
      </c>
    </row>
    <row r="251" spans="1:18" x14ac:dyDescent="0.25">
      <c r="A251" s="1" t="s">
        <v>537</v>
      </c>
      <c r="B251" t="s">
        <v>538</v>
      </c>
      <c r="C251" t="s">
        <v>65</v>
      </c>
      <c r="D251" t="s">
        <v>120</v>
      </c>
      <c r="E251" s="4">
        <v>45412</v>
      </c>
      <c r="F251" s="4">
        <v>45414</v>
      </c>
      <c r="G251" s="1">
        <v>1</v>
      </c>
      <c r="H251" s="1">
        <v>3.75</v>
      </c>
      <c r="I251" t="s">
        <v>40</v>
      </c>
      <c r="J251" t="s">
        <v>2145</v>
      </c>
      <c r="K251" t="s">
        <v>14</v>
      </c>
      <c r="L251" s="1" t="str">
        <f t="shared" si="18"/>
        <v>2024</v>
      </c>
      <c r="M251" t="str">
        <f t="shared" si="19"/>
        <v>Apr</v>
      </c>
      <c r="N251" t="str">
        <f t="shared" si="20"/>
        <v>Tue</v>
      </c>
      <c r="O251" s="1">
        <f t="shared" si="21"/>
        <v>2</v>
      </c>
      <c r="P251" s="1">
        <f t="shared" si="22"/>
        <v>3.75</v>
      </c>
      <c r="Q251" s="1">
        <f>ROUND(G251*H251*VLOOKUP(D251,'Cost Product'!A$1:C$21,3,FALSE),0)</f>
        <v>2</v>
      </c>
      <c r="R251" s="1">
        <f t="shared" si="23"/>
        <v>1.75</v>
      </c>
    </row>
    <row r="252" spans="1:18" x14ac:dyDescent="0.25">
      <c r="A252" s="1" t="s">
        <v>539</v>
      </c>
      <c r="B252" t="s">
        <v>540</v>
      </c>
      <c r="C252" t="s">
        <v>26</v>
      </c>
      <c r="D252" t="s">
        <v>82</v>
      </c>
      <c r="E252" s="4">
        <v>45209</v>
      </c>
      <c r="F252" s="4">
        <v>45210</v>
      </c>
      <c r="G252" s="1">
        <v>3</v>
      </c>
      <c r="H252" s="1">
        <v>4.25</v>
      </c>
      <c r="I252" t="s">
        <v>13</v>
      </c>
      <c r="J252" t="s">
        <v>2141</v>
      </c>
      <c r="K252" t="s">
        <v>19</v>
      </c>
      <c r="L252" s="1" t="str">
        <f t="shared" si="18"/>
        <v>2023</v>
      </c>
      <c r="M252" t="str">
        <f t="shared" si="19"/>
        <v>Oct</v>
      </c>
      <c r="N252" t="str">
        <f t="shared" si="20"/>
        <v>Tue</v>
      </c>
      <c r="O252" s="1">
        <f t="shared" si="21"/>
        <v>1</v>
      </c>
      <c r="P252" s="1">
        <f t="shared" si="22"/>
        <v>12.75</v>
      </c>
      <c r="Q252" s="1">
        <f>ROUND(G252*H252*VLOOKUP(D252,'Cost Product'!A$1:C$21,3,FALSE),0)</f>
        <v>6</v>
      </c>
      <c r="R252" s="1">
        <f t="shared" si="23"/>
        <v>6.75</v>
      </c>
    </row>
    <row r="253" spans="1:18" x14ac:dyDescent="0.25">
      <c r="A253" s="1" t="s">
        <v>541</v>
      </c>
      <c r="B253" t="s">
        <v>542</v>
      </c>
      <c r="C253" t="s">
        <v>26</v>
      </c>
      <c r="D253" t="s">
        <v>82</v>
      </c>
      <c r="E253" s="4">
        <v>45291</v>
      </c>
      <c r="F253" s="4">
        <v>45297</v>
      </c>
      <c r="G253" s="1">
        <v>5</v>
      </c>
      <c r="H253" s="1">
        <v>4.25</v>
      </c>
      <c r="I253" t="s">
        <v>40</v>
      </c>
      <c r="J253" t="s">
        <v>2141</v>
      </c>
      <c r="K253" t="s">
        <v>28</v>
      </c>
      <c r="L253" s="1" t="str">
        <f t="shared" si="18"/>
        <v>2023</v>
      </c>
      <c r="M253" t="str">
        <f t="shared" si="19"/>
        <v>Dec</v>
      </c>
      <c r="N253" t="str">
        <f t="shared" si="20"/>
        <v>Sun</v>
      </c>
      <c r="O253" s="1">
        <f t="shared" si="21"/>
        <v>6</v>
      </c>
      <c r="P253" s="1">
        <f t="shared" si="22"/>
        <v>21.25</v>
      </c>
      <c r="Q253" s="1">
        <f>ROUND(G253*H253*VLOOKUP(D253,'Cost Product'!A$1:C$21,3,FALSE),0)</f>
        <v>10</v>
      </c>
      <c r="R253" s="1">
        <f t="shared" si="23"/>
        <v>11.25</v>
      </c>
    </row>
    <row r="254" spans="1:18" x14ac:dyDescent="0.25">
      <c r="A254" s="1" t="s">
        <v>543</v>
      </c>
      <c r="B254" t="s">
        <v>544</v>
      </c>
      <c r="C254" t="s">
        <v>22</v>
      </c>
      <c r="D254" t="s">
        <v>59</v>
      </c>
      <c r="E254" s="4">
        <v>45284</v>
      </c>
      <c r="F254" s="4">
        <v>45291</v>
      </c>
      <c r="G254" s="1">
        <v>3</v>
      </c>
      <c r="H254" s="1">
        <v>8.5</v>
      </c>
      <c r="I254" t="s">
        <v>13</v>
      </c>
      <c r="J254" t="s">
        <v>2145</v>
      </c>
      <c r="K254" t="s">
        <v>28</v>
      </c>
      <c r="L254" s="1" t="str">
        <f t="shared" si="18"/>
        <v>2023</v>
      </c>
      <c r="M254" t="str">
        <f t="shared" si="19"/>
        <v>Dec</v>
      </c>
      <c r="N254" t="str">
        <f t="shared" si="20"/>
        <v>Sun</v>
      </c>
      <c r="O254" s="1">
        <f t="shared" si="21"/>
        <v>7</v>
      </c>
      <c r="P254" s="1">
        <f t="shared" si="22"/>
        <v>25.5</v>
      </c>
      <c r="Q254" s="1">
        <f>ROUND(G254*H254*VLOOKUP(D254,'Cost Product'!A$1:C$21,3,FALSE),0)</f>
        <v>15</v>
      </c>
      <c r="R254" s="1">
        <f t="shared" si="23"/>
        <v>10.5</v>
      </c>
    </row>
    <row r="255" spans="1:18" x14ac:dyDescent="0.25">
      <c r="A255" s="1" t="s">
        <v>545</v>
      </c>
      <c r="B255" t="s">
        <v>546</v>
      </c>
      <c r="C255" t="s">
        <v>22</v>
      </c>
      <c r="D255" t="s">
        <v>23</v>
      </c>
      <c r="E255" s="4">
        <v>45582</v>
      </c>
      <c r="F255" s="4">
        <v>45587</v>
      </c>
      <c r="G255" s="1">
        <v>1</v>
      </c>
      <c r="H255" s="1">
        <v>10</v>
      </c>
      <c r="I255" t="s">
        <v>40</v>
      </c>
      <c r="J255" t="s">
        <v>2141</v>
      </c>
      <c r="K255" t="s">
        <v>28</v>
      </c>
      <c r="L255" s="1" t="str">
        <f t="shared" si="18"/>
        <v>2024</v>
      </c>
      <c r="M255" t="str">
        <f t="shared" si="19"/>
        <v>Oct</v>
      </c>
      <c r="N255" t="str">
        <f t="shared" si="20"/>
        <v>Thu</v>
      </c>
      <c r="O255" s="1">
        <f t="shared" si="21"/>
        <v>5</v>
      </c>
      <c r="P255" s="1">
        <f t="shared" si="22"/>
        <v>10</v>
      </c>
      <c r="Q255" s="1">
        <f>ROUND(G255*H255*VLOOKUP(D255,'Cost Product'!A$1:C$21,3,FALSE),0)</f>
        <v>7</v>
      </c>
      <c r="R255" s="1">
        <f t="shared" si="23"/>
        <v>3</v>
      </c>
    </row>
    <row r="256" spans="1:18" x14ac:dyDescent="0.25">
      <c r="A256" s="1" t="s">
        <v>547</v>
      </c>
      <c r="B256" t="s">
        <v>548</v>
      </c>
      <c r="C256" t="s">
        <v>26</v>
      </c>
      <c r="D256" t="s">
        <v>104</v>
      </c>
      <c r="E256" s="4">
        <v>45377</v>
      </c>
      <c r="F256" s="4">
        <v>45391</v>
      </c>
      <c r="G256" s="1">
        <v>4</v>
      </c>
      <c r="H256" s="1">
        <v>4.5</v>
      </c>
      <c r="I256" t="s">
        <v>13</v>
      </c>
      <c r="J256" t="s">
        <v>2141</v>
      </c>
      <c r="K256" t="s">
        <v>14</v>
      </c>
      <c r="L256" s="1" t="str">
        <f t="shared" si="18"/>
        <v>2024</v>
      </c>
      <c r="M256" t="str">
        <f t="shared" si="19"/>
        <v>Mar</v>
      </c>
      <c r="N256" t="str">
        <f t="shared" si="20"/>
        <v>Tue</v>
      </c>
      <c r="O256" s="1">
        <f t="shared" si="21"/>
        <v>14</v>
      </c>
      <c r="P256" s="1">
        <f t="shared" si="22"/>
        <v>18</v>
      </c>
      <c r="Q256" s="1">
        <f>ROUND(G256*H256*VLOOKUP(D256,'Cost Product'!A$1:C$21,3,FALSE),0)</f>
        <v>9</v>
      </c>
      <c r="R256" s="1">
        <f t="shared" si="23"/>
        <v>9</v>
      </c>
    </row>
    <row r="257" spans="1:18" x14ac:dyDescent="0.25">
      <c r="A257" s="1" t="s">
        <v>549</v>
      </c>
      <c r="B257" t="s">
        <v>550</v>
      </c>
      <c r="C257" t="s">
        <v>65</v>
      </c>
      <c r="D257" t="s">
        <v>66</v>
      </c>
      <c r="E257" s="4">
        <v>45430</v>
      </c>
      <c r="F257" s="4">
        <v>45431</v>
      </c>
      <c r="G257" s="1">
        <v>5</v>
      </c>
      <c r="H257" s="1">
        <v>3.5</v>
      </c>
      <c r="I257" t="s">
        <v>13</v>
      </c>
      <c r="J257" t="s">
        <v>2143</v>
      </c>
      <c r="K257" t="s">
        <v>19</v>
      </c>
      <c r="L257" s="1" t="str">
        <f t="shared" si="18"/>
        <v>2024</v>
      </c>
      <c r="M257" t="str">
        <f t="shared" si="19"/>
        <v>May</v>
      </c>
      <c r="N257" t="str">
        <f t="shared" si="20"/>
        <v>Sat</v>
      </c>
      <c r="O257" s="1">
        <f t="shared" si="21"/>
        <v>1</v>
      </c>
      <c r="P257" s="1">
        <f t="shared" si="22"/>
        <v>17.5</v>
      </c>
      <c r="Q257" s="1">
        <f>ROUND(G257*H257*VLOOKUP(D257,'Cost Product'!A$1:C$21,3,FALSE),0)</f>
        <v>8</v>
      </c>
      <c r="R257" s="1">
        <f t="shared" si="23"/>
        <v>9.5</v>
      </c>
    </row>
    <row r="258" spans="1:18" x14ac:dyDescent="0.25">
      <c r="A258" s="1" t="s">
        <v>551</v>
      </c>
      <c r="B258" t="s">
        <v>552</v>
      </c>
      <c r="C258" t="s">
        <v>65</v>
      </c>
      <c r="D258" t="s">
        <v>120</v>
      </c>
      <c r="E258" s="4">
        <v>45196</v>
      </c>
      <c r="F258" s="4">
        <v>45197</v>
      </c>
      <c r="G258" s="1">
        <v>4</v>
      </c>
      <c r="H258" s="1">
        <v>3.75</v>
      </c>
      <c r="I258" t="s">
        <v>13</v>
      </c>
      <c r="J258" t="s">
        <v>2141</v>
      </c>
      <c r="K258" t="s">
        <v>28</v>
      </c>
      <c r="L258" s="1" t="str">
        <f t="shared" si="18"/>
        <v>2023</v>
      </c>
      <c r="M258" t="str">
        <f t="shared" si="19"/>
        <v>Sep</v>
      </c>
      <c r="N258" t="str">
        <f t="shared" si="20"/>
        <v>Wed</v>
      </c>
      <c r="O258" s="1">
        <f t="shared" si="21"/>
        <v>1</v>
      </c>
      <c r="P258" s="1">
        <f t="shared" si="22"/>
        <v>15</v>
      </c>
      <c r="Q258" s="1">
        <f>ROUND(G258*H258*VLOOKUP(D258,'Cost Product'!A$1:C$21,3,FALSE),0)</f>
        <v>8</v>
      </c>
      <c r="R258" s="1">
        <f t="shared" si="23"/>
        <v>7</v>
      </c>
    </row>
    <row r="259" spans="1:18" x14ac:dyDescent="0.25">
      <c r="A259" s="1" t="s">
        <v>553</v>
      </c>
      <c r="B259" t="s">
        <v>554</v>
      </c>
      <c r="C259" t="s">
        <v>65</v>
      </c>
      <c r="D259" t="s">
        <v>66</v>
      </c>
      <c r="E259" s="4">
        <v>45129</v>
      </c>
      <c r="F259" s="4">
        <v>45132</v>
      </c>
      <c r="G259" s="1">
        <v>2</v>
      </c>
      <c r="H259" s="1">
        <v>3.5</v>
      </c>
      <c r="I259" t="s">
        <v>13</v>
      </c>
      <c r="J259" t="s">
        <v>2142</v>
      </c>
      <c r="K259" t="s">
        <v>19</v>
      </c>
      <c r="L259" s="1" t="str">
        <f t="shared" ref="L259:L322" si="24">TEXT(E259, "YYYY")</f>
        <v>2023</v>
      </c>
      <c r="M259" t="str">
        <f t="shared" ref="M259:M322" si="25">TEXT(E259, "MMM")</f>
        <v>Jul</v>
      </c>
      <c r="N259" t="str">
        <f t="shared" ref="N259:N322" si="26">TEXT(E259, "DDD")</f>
        <v>Sat</v>
      </c>
      <c r="O259" s="1">
        <f t="shared" ref="O259:O322" si="27">DATEDIF(E259, F259, "D")</f>
        <v>3</v>
      </c>
      <c r="P259" s="1">
        <f t="shared" ref="P259:P322" si="28">G259*H259</f>
        <v>7</v>
      </c>
      <c r="Q259" s="1">
        <f>ROUND(G259*H259*VLOOKUP(D259,'Cost Product'!A$1:C$21,3,FALSE),0)</f>
        <v>3</v>
      </c>
      <c r="R259" s="1">
        <f t="shared" ref="R259:R322" si="29">P259-Q259</f>
        <v>4</v>
      </c>
    </row>
    <row r="260" spans="1:18" x14ac:dyDescent="0.25">
      <c r="A260" s="1" t="s">
        <v>555</v>
      </c>
      <c r="B260" t="s">
        <v>556</v>
      </c>
      <c r="C260" t="s">
        <v>65</v>
      </c>
      <c r="D260" t="s">
        <v>99</v>
      </c>
      <c r="E260" s="4">
        <v>45113</v>
      </c>
      <c r="F260" s="4">
        <v>45116</v>
      </c>
      <c r="G260" s="1">
        <v>2</v>
      </c>
      <c r="H260" s="1">
        <v>4</v>
      </c>
      <c r="I260" t="s">
        <v>13</v>
      </c>
      <c r="J260" t="s">
        <v>2141</v>
      </c>
      <c r="K260" t="s">
        <v>28</v>
      </c>
      <c r="L260" s="1" t="str">
        <f t="shared" si="24"/>
        <v>2023</v>
      </c>
      <c r="M260" t="str">
        <f t="shared" si="25"/>
        <v>Jul</v>
      </c>
      <c r="N260" t="str">
        <f t="shared" si="26"/>
        <v>Thu</v>
      </c>
      <c r="O260" s="1">
        <f t="shared" si="27"/>
        <v>3</v>
      </c>
      <c r="P260" s="1">
        <f t="shared" si="28"/>
        <v>8</v>
      </c>
      <c r="Q260" s="1">
        <f>ROUND(G260*H260*VLOOKUP(D260,'Cost Product'!A$1:C$21,3,FALSE),0)</f>
        <v>4</v>
      </c>
      <c r="R260" s="1">
        <f t="shared" si="29"/>
        <v>4</v>
      </c>
    </row>
    <row r="261" spans="1:18" x14ac:dyDescent="0.25">
      <c r="A261" s="1" t="s">
        <v>557</v>
      </c>
      <c r="B261" t="s">
        <v>558</v>
      </c>
      <c r="C261" t="s">
        <v>26</v>
      </c>
      <c r="D261" t="s">
        <v>45</v>
      </c>
      <c r="E261" s="4">
        <v>45545</v>
      </c>
      <c r="F261" s="4">
        <v>45548</v>
      </c>
      <c r="G261" s="1">
        <v>3</v>
      </c>
      <c r="H261" s="1">
        <v>4.5</v>
      </c>
      <c r="I261" t="s">
        <v>40</v>
      </c>
      <c r="J261" t="s">
        <v>2145</v>
      </c>
      <c r="K261" t="s">
        <v>19</v>
      </c>
      <c r="L261" s="1" t="str">
        <f t="shared" si="24"/>
        <v>2024</v>
      </c>
      <c r="M261" t="str">
        <f t="shared" si="25"/>
        <v>Sep</v>
      </c>
      <c r="N261" t="str">
        <f t="shared" si="26"/>
        <v>Tue</v>
      </c>
      <c r="O261" s="1">
        <f t="shared" si="27"/>
        <v>3</v>
      </c>
      <c r="P261" s="1">
        <f t="shared" si="28"/>
        <v>13.5</v>
      </c>
      <c r="Q261" s="1">
        <f>ROUND(G261*H261*VLOOKUP(D261,'Cost Product'!A$1:C$21,3,FALSE),0)</f>
        <v>7</v>
      </c>
      <c r="R261" s="1">
        <f t="shared" si="29"/>
        <v>6.5</v>
      </c>
    </row>
    <row r="262" spans="1:18" x14ac:dyDescent="0.25">
      <c r="A262" s="1" t="s">
        <v>559</v>
      </c>
      <c r="B262" t="s">
        <v>560</v>
      </c>
      <c r="C262" t="s">
        <v>65</v>
      </c>
      <c r="D262" t="s">
        <v>115</v>
      </c>
      <c r="E262" s="4">
        <v>45480</v>
      </c>
      <c r="F262" s="4">
        <v>45494</v>
      </c>
      <c r="G262" s="1">
        <v>1</v>
      </c>
      <c r="H262" s="1">
        <v>3</v>
      </c>
      <c r="I262" t="s">
        <v>13</v>
      </c>
      <c r="J262" t="s">
        <v>2146</v>
      </c>
      <c r="K262" t="s">
        <v>28</v>
      </c>
      <c r="L262" s="1" t="str">
        <f t="shared" si="24"/>
        <v>2024</v>
      </c>
      <c r="M262" t="str">
        <f t="shared" si="25"/>
        <v>Jul</v>
      </c>
      <c r="N262" t="str">
        <f t="shared" si="26"/>
        <v>Sun</v>
      </c>
      <c r="O262" s="1">
        <f t="shared" si="27"/>
        <v>14</v>
      </c>
      <c r="P262" s="1">
        <f t="shared" si="28"/>
        <v>3</v>
      </c>
      <c r="Q262" s="1">
        <f>ROUND(G262*H262*VLOOKUP(D262,'Cost Product'!A$1:C$21,3,FALSE),0)</f>
        <v>1</v>
      </c>
      <c r="R262" s="1">
        <f t="shared" si="29"/>
        <v>2</v>
      </c>
    </row>
    <row r="263" spans="1:18" x14ac:dyDescent="0.25">
      <c r="A263" s="1" t="s">
        <v>561</v>
      </c>
      <c r="B263" t="s">
        <v>562</v>
      </c>
      <c r="C263" t="s">
        <v>11</v>
      </c>
      <c r="D263" t="s">
        <v>36</v>
      </c>
      <c r="E263" s="4">
        <v>45248</v>
      </c>
      <c r="F263" s="4">
        <v>45251</v>
      </c>
      <c r="G263" s="1">
        <v>2</v>
      </c>
      <c r="H263" s="1">
        <v>6.25</v>
      </c>
      <c r="I263" t="s">
        <v>13</v>
      </c>
      <c r="J263" t="s">
        <v>2141</v>
      </c>
      <c r="K263" t="s">
        <v>19</v>
      </c>
      <c r="L263" s="1" t="str">
        <f t="shared" si="24"/>
        <v>2023</v>
      </c>
      <c r="M263" t="str">
        <f t="shared" si="25"/>
        <v>Nov</v>
      </c>
      <c r="N263" t="str">
        <f t="shared" si="26"/>
        <v>Sat</v>
      </c>
      <c r="O263" s="1">
        <f t="shared" si="27"/>
        <v>3</v>
      </c>
      <c r="P263" s="1">
        <f t="shared" si="28"/>
        <v>12.5</v>
      </c>
      <c r="Q263" s="1">
        <f>ROUND(G263*H263*VLOOKUP(D263,'Cost Product'!A$1:C$21,3,FALSE),0)</f>
        <v>7</v>
      </c>
      <c r="R263" s="1">
        <f t="shared" si="29"/>
        <v>5.5</v>
      </c>
    </row>
    <row r="264" spans="1:18" x14ac:dyDescent="0.25">
      <c r="A264" s="1" t="s">
        <v>563</v>
      </c>
      <c r="B264" t="s">
        <v>564</v>
      </c>
      <c r="C264" t="s">
        <v>26</v>
      </c>
      <c r="D264" t="s">
        <v>82</v>
      </c>
      <c r="E264" s="4">
        <v>45296</v>
      </c>
      <c r="F264" s="4">
        <v>45297</v>
      </c>
      <c r="G264" s="1">
        <v>4</v>
      </c>
      <c r="H264" s="1">
        <v>4.25</v>
      </c>
      <c r="I264" t="s">
        <v>13</v>
      </c>
      <c r="J264" t="s">
        <v>2145</v>
      </c>
      <c r="K264" t="s">
        <v>28</v>
      </c>
      <c r="L264" s="1" t="str">
        <f t="shared" si="24"/>
        <v>2024</v>
      </c>
      <c r="M264" t="str">
        <f t="shared" si="25"/>
        <v>Jan</v>
      </c>
      <c r="N264" t="str">
        <f t="shared" si="26"/>
        <v>Fri</v>
      </c>
      <c r="O264" s="1">
        <f t="shared" si="27"/>
        <v>1</v>
      </c>
      <c r="P264" s="1">
        <f t="shared" si="28"/>
        <v>17</v>
      </c>
      <c r="Q264" s="1">
        <f>ROUND(G264*H264*VLOOKUP(D264,'Cost Product'!A$1:C$21,3,FALSE),0)</f>
        <v>8</v>
      </c>
      <c r="R264" s="1">
        <f t="shared" si="29"/>
        <v>9</v>
      </c>
    </row>
    <row r="265" spans="1:18" x14ac:dyDescent="0.25">
      <c r="A265" s="1" t="s">
        <v>565</v>
      </c>
      <c r="B265" t="s">
        <v>566</v>
      </c>
      <c r="C265" t="s">
        <v>17</v>
      </c>
      <c r="D265" t="s">
        <v>79</v>
      </c>
      <c r="E265" s="4">
        <v>45250</v>
      </c>
      <c r="F265" s="4">
        <v>45258</v>
      </c>
      <c r="G265" s="1">
        <v>3</v>
      </c>
      <c r="H265" s="1">
        <v>5</v>
      </c>
      <c r="I265" t="s">
        <v>40</v>
      </c>
      <c r="J265" t="s">
        <v>2142</v>
      </c>
      <c r="K265" t="s">
        <v>19</v>
      </c>
      <c r="L265" s="1" t="str">
        <f t="shared" si="24"/>
        <v>2023</v>
      </c>
      <c r="M265" t="str">
        <f t="shared" si="25"/>
        <v>Nov</v>
      </c>
      <c r="N265" t="str">
        <f t="shared" si="26"/>
        <v>Mon</v>
      </c>
      <c r="O265" s="1">
        <f t="shared" si="27"/>
        <v>8</v>
      </c>
      <c r="P265" s="1">
        <f t="shared" si="28"/>
        <v>15</v>
      </c>
      <c r="Q265" s="1">
        <f>ROUND(G265*H265*VLOOKUP(D265,'Cost Product'!A$1:C$21,3,FALSE),0)</f>
        <v>8</v>
      </c>
      <c r="R265" s="1">
        <f t="shared" si="29"/>
        <v>7</v>
      </c>
    </row>
    <row r="266" spans="1:18" x14ac:dyDescent="0.25">
      <c r="A266" s="1" t="s">
        <v>567</v>
      </c>
      <c r="B266" t="s">
        <v>568</v>
      </c>
      <c r="C266" t="s">
        <v>65</v>
      </c>
      <c r="D266" t="s">
        <v>66</v>
      </c>
      <c r="E266" s="4">
        <v>45286</v>
      </c>
      <c r="F266" s="4">
        <v>45300</v>
      </c>
      <c r="G266" s="1">
        <v>1</v>
      </c>
      <c r="H266" s="1">
        <v>3.5</v>
      </c>
      <c r="I266" t="s">
        <v>13</v>
      </c>
      <c r="J266" t="s">
        <v>2141</v>
      </c>
      <c r="K266" t="s">
        <v>19</v>
      </c>
      <c r="L266" s="1" t="str">
        <f t="shared" si="24"/>
        <v>2023</v>
      </c>
      <c r="M266" t="str">
        <f t="shared" si="25"/>
        <v>Dec</v>
      </c>
      <c r="N266" t="str">
        <f t="shared" si="26"/>
        <v>Tue</v>
      </c>
      <c r="O266" s="1">
        <f t="shared" si="27"/>
        <v>14</v>
      </c>
      <c r="P266" s="1">
        <f t="shared" si="28"/>
        <v>3.5</v>
      </c>
      <c r="Q266" s="1">
        <f>ROUND(G266*H266*VLOOKUP(D266,'Cost Product'!A$1:C$21,3,FALSE),0)</f>
        <v>2</v>
      </c>
      <c r="R266" s="1">
        <f t="shared" si="29"/>
        <v>1.5</v>
      </c>
    </row>
    <row r="267" spans="1:18" x14ac:dyDescent="0.25">
      <c r="A267" s="1" t="s">
        <v>569</v>
      </c>
      <c r="B267" t="s">
        <v>570</v>
      </c>
      <c r="C267" t="s">
        <v>17</v>
      </c>
      <c r="D267" t="s">
        <v>79</v>
      </c>
      <c r="E267" s="4">
        <v>45594</v>
      </c>
      <c r="F267" s="4">
        <v>45605</v>
      </c>
      <c r="G267" s="1">
        <v>3</v>
      </c>
      <c r="H267" s="1">
        <v>5</v>
      </c>
      <c r="I267" t="s">
        <v>40</v>
      </c>
      <c r="J267" t="s">
        <v>2141</v>
      </c>
      <c r="K267" t="s">
        <v>28</v>
      </c>
      <c r="L267" s="1" t="str">
        <f t="shared" si="24"/>
        <v>2024</v>
      </c>
      <c r="M267" t="str">
        <f t="shared" si="25"/>
        <v>Oct</v>
      </c>
      <c r="N267" t="str">
        <f t="shared" si="26"/>
        <v>Tue</v>
      </c>
      <c r="O267" s="1">
        <f t="shared" si="27"/>
        <v>11</v>
      </c>
      <c r="P267" s="1">
        <f t="shared" si="28"/>
        <v>15</v>
      </c>
      <c r="Q267" s="1">
        <f>ROUND(G267*H267*VLOOKUP(D267,'Cost Product'!A$1:C$21,3,FALSE),0)</f>
        <v>8</v>
      </c>
      <c r="R267" s="1">
        <f t="shared" si="29"/>
        <v>7</v>
      </c>
    </row>
    <row r="268" spans="1:18" x14ac:dyDescent="0.25">
      <c r="A268" s="1" t="s">
        <v>571</v>
      </c>
      <c r="B268" t="s">
        <v>572</v>
      </c>
      <c r="C268" t="s">
        <v>65</v>
      </c>
      <c r="D268" t="s">
        <v>115</v>
      </c>
      <c r="E268" s="4">
        <v>45389</v>
      </c>
      <c r="F268" s="4">
        <v>45390</v>
      </c>
      <c r="G268" s="1">
        <v>1</v>
      </c>
      <c r="H268" s="1">
        <v>3</v>
      </c>
      <c r="I268" t="s">
        <v>13</v>
      </c>
      <c r="J268" t="s">
        <v>2142</v>
      </c>
      <c r="K268" t="s">
        <v>19</v>
      </c>
      <c r="L268" s="1" t="str">
        <f t="shared" si="24"/>
        <v>2024</v>
      </c>
      <c r="M268" t="str">
        <f t="shared" si="25"/>
        <v>Apr</v>
      </c>
      <c r="N268" t="str">
        <f t="shared" si="26"/>
        <v>Sun</v>
      </c>
      <c r="O268" s="1">
        <f t="shared" si="27"/>
        <v>1</v>
      </c>
      <c r="P268" s="1">
        <f t="shared" si="28"/>
        <v>3</v>
      </c>
      <c r="Q268" s="1">
        <f>ROUND(G268*H268*VLOOKUP(D268,'Cost Product'!A$1:C$21,3,FALSE),0)</f>
        <v>1</v>
      </c>
      <c r="R268" s="1">
        <f t="shared" si="29"/>
        <v>2</v>
      </c>
    </row>
    <row r="269" spans="1:18" x14ac:dyDescent="0.25">
      <c r="A269" s="1" t="s">
        <v>573</v>
      </c>
      <c r="B269" t="s">
        <v>574</v>
      </c>
      <c r="C269" t="s">
        <v>26</v>
      </c>
      <c r="D269" t="s">
        <v>82</v>
      </c>
      <c r="E269" s="4">
        <v>45542</v>
      </c>
      <c r="F269" s="4">
        <v>45546</v>
      </c>
      <c r="G269" s="1">
        <v>3</v>
      </c>
      <c r="H269" s="1">
        <v>4.25</v>
      </c>
      <c r="I269" t="s">
        <v>40</v>
      </c>
      <c r="J269" t="s">
        <v>2145</v>
      </c>
      <c r="K269" t="s">
        <v>14</v>
      </c>
      <c r="L269" s="1" t="str">
        <f t="shared" si="24"/>
        <v>2024</v>
      </c>
      <c r="M269" t="str">
        <f t="shared" si="25"/>
        <v>Sep</v>
      </c>
      <c r="N269" t="str">
        <f t="shared" si="26"/>
        <v>Sat</v>
      </c>
      <c r="O269" s="1">
        <f t="shared" si="27"/>
        <v>4</v>
      </c>
      <c r="P269" s="1">
        <f t="shared" si="28"/>
        <v>12.75</v>
      </c>
      <c r="Q269" s="1">
        <f>ROUND(G269*H269*VLOOKUP(D269,'Cost Product'!A$1:C$21,3,FALSE),0)</f>
        <v>6</v>
      </c>
      <c r="R269" s="1">
        <f t="shared" si="29"/>
        <v>6.75</v>
      </c>
    </row>
    <row r="270" spans="1:18" x14ac:dyDescent="0.25">
      <c r="A270" s="1" t="s">
        <v>575</v>
      </c>
      <c r="B270" t="s">
        <v>576</v>
      </c>
      <c r="C270" t="s">
        <v>65</v>
      </c>
      <c r="D270" t="s">
        <v>115</v>
      </c>
      <c r="E270" s="4">
        <v>45160</v>
      </c>
      <c r="F270" s="4">
        <v>45163</v>
      </c>
      <c r="G270" s="1">
        <v>5</v>
      </c>
      <c r="H270" s="1">
        <v>3</v>
      </c>
      <c r="I270" t="s">
        <v>13</v>
      </c>
      <c r="J270" t="s">
        <v>2141</v>
      </c>
      <c r="K270" t="s">
        <v>19</v>
      </c>
      <c r="L270" s="1" t="str">
        <f t="shared" si="24"/>
        <v>2023</v>
      </c>
      <c r="M270" t="str">
        <f t="shared" si="25"/>
        <v>Aug</v>
      </c>
      <c r="N270" t="str">
        <f t="shared" si="26"/>
        <v>Tue</v>
      </c>
      <c r="O270" s="1">
        <f t="shared" si="27"/>
        <v>3</v>
      </c>
      <c r="P270" s="1">
        <f t="shared" si="28"/>
        <v>15</v>
      </c>
      <c r="Q270" s="1">
        <f>ROUND(G270*H270*VLOOKUP(D270,'Cost Product'!A$1:C$21,3,FALSE),0)</f>
        <v>7</v>
      </c>
      <c r="R270" s="1">
        <f t="shared" si="29"/>
        <v>8</v>
      </c>
    </row>
    <row r="271" spans="1:18" x14ac:dyDescent="0.25">
      <c r="A271" s="1" t="s">
        <v>577</v>
      </c>
      <c r="B271" t="s">
        <v>578</v>
      </c>
      <c r="C271" t="s">
        <v>65</v>
      </c>
      <c r="D271" t="s">
        <v>99</v>
      </c>
      <c r="E271" s="4">
        <v>45561</v>
      </c>
      <c r="F271" s="4">
        <v>45567</v>
      </c>
      <c r="G271" s="1">
        <v>3</v>
      </c>
      <c r="H271" s="1">
        <v>4</v>
      </c>
      <c r="I271" t="s">
        <v>13</v>
      </c>
      <c r="J271" t="s">
        <v>2145</v>
      </c>
      <c r="K271" t="s">
        <v>28</v>
      </c>
      <c r="L271" s="1" t="str">
        <f t="shared" si="24"/>
        <v>2024</v>
      </c>
      <c r="M271" t="str">
        <f t="shared" si="25"/>
        <v>Sep</v>
      </c>
      <c r="N271" t="str">
        <f t="shared" si="26"/>
        <v>Thu</v>
      </c>
      <c r="O271" s="1">
        <f t="shared" si="27"/>
        <v>6</v>
      </c>
      <c r="P271" s="1">
        <f t="shared" si="28"/>
        <v>12</v>
      </c>
      <c r="Q271" s="1">
        <f>ROUND(G271*H271*VLOOKUP(D271,'Cost Product'!A$1:C$21,3,FALSE),0)</f>
        <v>6</v>
      </c>
      <c r="R271" s="1">
        <f t="shared" si="29"/>
        <v>6</v>
      </c>
    </row>
    <row r="272" spans="1:18" x14ac:dyDescent="0.25">
      <c r="A272" s="1" t="s">
        <v>579</v>
      </c>
      <c r="B272" t="s">
        <v>580</v>
      </c>
      <c r="C272" t="s">
        <v>65</v>
      </c>
      <c r="D272" t="s">
        <v>66</v>
      </c>
      <c r="E272" s="4">
        <v>45175</v>
      </c>
      <c r="F272" s="4">
        <v>45177</v>
      </c>
      <c r="G272" s="1">
        <v>1</v>
      </c>
      <c r="H272" s="1">
        <v>3.5</v>
      </c>
      <c r="I272" t="s">
        <v>13</v>
      </c>
      <c r="J272" t="s">
        <v>2142</v>
      </c>
      <c r="K272" t="s">
        <v>19</v>
      </c>
      <c r="L272" s="1" t="str">
        <f t="shared" si="24"/>
        <v>2023</v>
      </c>
      <c r="M272" t="str">
        <f t="shared" si="25"/>
        <v>Sep</v>
      </c>
      <c r="N272" t="str">
        <f t="shared" si="26"/>
        <v>Wed</v>
      </c>
      <c r="O272" s="1">
        <f t="shared" si="27"/>
        <v>2</v>
      </c>
      <c r="P272" s="1">
        <f t="shared" si="28"/>
        <v>3.5</v>
      </c>
      <c r="Q272" s="1">
        <f>ROUND(G272*H272*VLOOKUP(D272,'Cost Product'!A$1:C$21,3,FALSE),0)</f>
        <v>2</v>
      </c>
      <c r="R272" s="1">
        <f t="shared" si="29"/>
        <v>1.5</v>
      </c>
    </row>
    <row r="273" spans="1:18" x14ac:dyDescent="0.25">
      <c r="A273" s="1" t="s">
        <v>581</v>
      </c>
      <c r="B273" t="s">
        <v>582</v>
      </c>
      <c r="C273" t="s">
        <v>65</v>
      </c>
      <c r="D273" t="s">
        <v>115</v>
      </c>
      <c r="E273" s="4">
        <v>45124</v>
      </c>
      <c r="F273" s="4">
        <v>45126</v>
      </c>
      <c r="G273" s="1">
        <v>2</v>
      </c>
      <c r="H273" s="1">
        <v>3</v>
      </c>
      <c r="I273" t="s">
        <v>13</v>
      </c>
      <c r="J273" t="s">
        <v>2142</v>
      </c>
      <c r="K273" t="s">
        <v>28</v>
      </c>
      <c r="L273" s="1" t="str">
        <f t="shared" si="24"/>
        <v>2023</v>
      </c>
      <c r="M273" t="str">
        <f t="shared" si="25"/>
        <v>Jul</v>
      </c>
      <c r="N273" t="str">
        <f t="shared" si="26"/>
        <v>Mon</v>
      </c>
      <c r="O273" s="1">
        <f t="shared" si="27"/>
        <v>2</v>
      </c>
      <c r="P273" s="1">
        <f t="shared" si="28"/>
        <v>6</v>
      </c>
      <c r="Q273" s="1">
        <f>ROUND(G273*H273*VLOOKUP(D273,'Cost Product'!A$1:C$21,3,FALSE),0)</f>
        <v>3</v>
      </c>
      <c r="R273" s="1">
        <f t="shared" si="29"/>
        <v>3</v>
      </c>
    </row>
    <row r="274" spans="1:18" x14ac:dyDescent="0.25">
      <c r="A274" s="1" t="s">
        <v>583</v>
      </c>
      <c r="B274" t="s">
        <v>584</v>
      </c>
      <c r="C274" t="s">
        <v>11</v>
      </c>
      <c r="D274" t="s">
        <v>39</v>
      </c>
      <c r="E274" s="4">
        <v>45222</v>
      </c>
      <c r="F274" s="4">
        <v>45224</v>
      </c>
      <c r="G274" s="1">
        <v>3</v>
      </c>
      <c r="H274" s="1">
        <v>5.75</v>
      </c>
      <c r="I274" t="s">
        <v>13</v>
      </c>
      <c r="J274" t="s">
        <v>2144</v>
      </c>
      <c r="K274" t="s">
        <v>28</v>
      </c>
      <c r="L274" s="1" t="str">
        <f t="shared" si="24"/>
        <v>2023</v>
      </c>
      <c r="M274" t="str">
        <f t="shared" si="25"/>
        <v>Oct</v>
      </c>
      <c r="N274" t="str">
        <f t="shared" si="26"/>
        <v>Mon</v>
      </c>
      <c r="O274" s="1">
        <f t="shared" si="27"/>
        <v>2</v>
      </c>
      <c r="P274" s="1">
        <f t="shared" si="28"/>
        <v>17.25</v>
      </c>
      <c r="Q274" s="1">
        <f>ROUND(G274*H274*VLOOKUP(D274,'Cost Product'!A$1:C$21,3,FALSE),0)</f>
        <v>9</v>
      </c>
      <c r="R274" s="1">
        <f t="shared" si="29"/>
        <v>8.25</v>
      </c>
    </row>
    <row r="275" spans="1:18" x14ac:dyDescent="0.25">
      <c r="A275" s="1" t="s">
        <v>585</v>
      </c>
      <c r="B275" t="s">
        <v>586</v>
      </c>
      <c r="C275" t="s">
        <v>22</v>
      </c>
      <c r="D275" t="s">
        <v>56</v>
      </c>
      <c r="E275" s="4">
        <v>45513</v>
      </c>
      <c r="F275" s="4">
        <v>45515</v>
      </c>
      <c r="G275" s="1">
        <v>3</v>
      </c>
      <c r="H275" s="1">
        <v>8.75</v>
      </c>
      <c r="I275" t="s">
        <v>13</v>
      </c>
      <c r="J275" t="s">
        <v>2145</v>
      </c>
      <c r="K275" t="s">
        <v>14</v>
      </c>
      <c r="L275" s="1" t="str">
        <f t="shared" si="24"/>
        <v>2024</v>
      </c>
      <c r="M275" t="str">
        <f t="shared" si="25"/>
        <v>Aug</v>
      </c>
      <c r="N275" t="str">
        <f t="shared" si="26"/>
        <v>Fri</v>
      </c>
      <c r="O275" s="1">
        <f t="shared" si="27"/>
        <v>2</v>
      </c>
      <c r="P275" s="1">
        <f t="shared" si="28"/>
        <v>26.25</v>
      </c>
      <c r="Q275" s="1">
        <f>ROUND(G275*H275*VLOOKUP(D275,'Cost Product'!A$1:C$21,3,FALSE),0)</f>
        <v>15</v>
      </c>
      <c r="R275" s="1">
        <f t="shared" si="29"/>
        <v>11.25</v>
      </c>
    </row>
    <row r="276" spans="1:18" x14ac:dyDescent="0.25">
      <c r="A276" s="1" t="s">
        <v>587</v>
      </c>
      <c r="B276" t="s">
        <v>588</v>
      </c>
      <c r="C276" t="s">
        <v>65</v>
      </c>
      <c r="D276" t="s">
        <v>66</v>
      </c>
      <c r="E276" s="4">
        <v>45592</v>
      </c>
      <c r="F276" s="4">
        <v>45599</v>
      </c>
      <c r="G276" s="1">
        <v>2</v>
      </c>
      <c r="H276" s="1">
        <v>3.5</v>
      </c>
      <c r="I276" t="s">
        <v>40</v>
      </c>
      <c r="J276" t="s">
        <v>2141</v>
      </c>
      <c r="K276" t="s">
        <v>28</v>
      </c>
      <c r="L276" s="1" t="str">
        <f t="shared" si="24"/>
        <v>2024</v>
      </c>
      <c r="M276" t="str">
        <f t="shared" si="25"/>
        <v>Oct</v>
      </c>
      <c r="N276" t="str">
        <f t="shared" si="26"/>
        <v>Sun</v>
      </c>
      <c r="O276" s="1">
        <f t="shared" si="27"/>
        <v>7</v>
      </c>
      <c r="P276" s="1">
        <f t="shared" si="28"/>
        <v>7</v>
      </c>
      <c r="Q276" s="1">
        <f>ROUND(G276*H276*VLOOKUP(D276,'Cost Product'!A$1:C$21,3,FALSE),0)</f>
        <v>3</v>
      </c>
      <c r="R276" s="1">
        <f t="shared" si="29"/>
        <v>4</v>
      </c>
    </row>
    <row r="277" spans="1:18" x14ac:dyDescent="0.25">
      <c r="A277" s="1" t="s">
        <v>589</v>
      </c>
      <c r="B277" t="s">
        <v>590</v>
      </c>
      <c r="C277" t="s">
        <v>65</v>
      </c>
      <c r="D277" t="s">
        <v>115</v>
      </c>
      <c r="E277" s="4">
        <v>45442</v>
      </c>
      <c r="F277" s="4">
        <v>45449</v>
      </c>
      <c r="G277" s="1">
        <v>4</v>
      </c>
      <c r="H277" s="1">
        <v>3</v>
      </c>
      <c r="I277" t="s">
        <v>40</v>
      </c>
      <c r="J277" t="s">
        <v>2142</v>
      </c>
      <c r="K277" t="s">
        <v>19</v>
      </c>
      <c r="L277" s="1" t="str">
        <f t="shared" si="24"/>
        <v>2024</v>
      </c>
      <c r="M277" t="str">
        <f t="shared" si="25"/>
        <v>May</v>
      </c>
      <c r="N277" t="str">
        <f t="shared" si="26"/>
        <v>Thu</v>
      </c>
      <c r="O277" s="1">
        <f t="shared" si="27"/>
        <v>7</v>
      </c>
      <c r="P277" s="1">
        <f t="shared" si="28"/>
        <v>12</v>
      </c>
      <c r="Q277" s="1">
        <f>ROUND(G277*H277*VLOOKUP(D277,'Cost Product'!A$1:C$21,3,FALSE),0)</f>
        <v>6</v>
      </c>
      <c r="R277" s="1">
        <f t="shared" si="29"/>
        <v>6</v>
      </c>
    </row>
    <row r="278" spans="1:18" x14ac:dyDescent="0.25">
      <c r="A278" s="1" t="s">
        <v>591</v>
      </c>
      <c r="B278" t="s">
        <v>592</v>
      </c>
      <c r="C278" t="s">
        <v>65</v>
      </c>
      <c r="D278" t="s">
        <v>66</v>
      </c>
      <c r="E278" s="4">
        <v>45139</v>
      </c>
      <c r="F278" s="4">
        <v>45142</v>
      </c>
      <c r="G278" s="1">
        <v>2</v>
      </c>
      <c r="H278" s="1">
        <v>3.5</v>
      </c>
      <c r="I278" t="s">
        <v>13</v>
      </c>
      <c r="J278" t="s">
        <v>2144</v>
      </c>
      <c r="K278" t="s">
        <v>28</v>
      </c>
      <c r="L278" s="1" t="str">
        <f t="shared" si="24"/>
        <v>2023</v>
      </c>
      <c r="M278" t="str">
        <f t="shared" si="25"/>
        <v>Aug</v>
      </c>
      <c r="N278" t="str">
        <f t="shared" si="26"/>
        <v>Tue</v>
      </c>
      <c r="O278" s="1">
        <f t="shared" si="27"/>
        <v>3</v>
      </c>
      <c r="P278" s="1">
        <f t="shared" si="28"/>
        <v>7</v>
      </c>
      <c r="Q278" s="1">
        <f>ROUND(G278*H278*VLOOKUP(D278,'Cost Product'!A$1:C$21,3,FALSE),0)</f>
        <v>3</v>
      </c>
      <c r="R278" s="1">
        <f t="shared" si="29"/>
        <v>4</v>
      </c>
    </row>
    <row r="279" spans="1:18" x14ac:dyDescent="0.25">
      <c r="A279" s="1" t="s">
        <v>593</v>
      </c>
      <c r="B279" t="s">
        <v>594</v>
      </c>
      <c r="C279" t="s">
        <v>17</v>
      </c>
      <c r="D279" t="s">
        <v>53</v>
      </c>
      <c r="E279" s="4">
        <v>45434</v>
      </c>
      <c r="F279" s="4">
        <v>45436</v>
      </c>
      <c r="G279" s="1">
        <v>2</v>
      </c>
      <c r="H279" s="1">
        <v>4.75</v>
      </c>
      <c r="I279" t="s">
        <v>13</v>
      </c>
      <c r="J279" t="s">
        <v>2141</v>
      </c>
      <c r="K279" t="s">
        <v>28</v>
      </c>
      <c r="L279" s="1" t="str">
        <f t="shared" si="24"/>
        <v>2024</v>
      </c>
      <c r="M279" t="str">
        <f t="shared" si="25"/>
        <v>May</v>
      </c>
      <c r="N279" t="str">
        <f t="shared" si="26"/>
        <v>Wed</v>
      </c>
      <c r="O279" s="1">
        <f t="shared" si="27"/>
        <v>2</v>
      </c>
      <c r="P279" s="1">
        <f t="shared" si="28"/>
        <v>9.5</v>
      </c>
      <c r="Q279" s="1">
        <f>ROUND(G279*H279*VLOOKUP(D279,'Cost Product'!A$1:C$21,3,FALSE),0)</f>
        <v>5</v>
      </c>
      <c r="R279" s="1">
        <f t="shared" si="29"/>
        <v>4.5</v>
      </c>
    </row>
    <row r="280" spans="1:18" x14ac:dyDescent="0.25">
      <c r="A280" s="1" t="s">
        <v>595</v>
      </c>
      <c r="B280" t="s">
        <v>596</v>
      </c>
      <c r="C280" t="s">
        <v>65</v>
      </c>
      <c r="D280" t="s">
        <v>120</v>
      </c>
      <c r="E280" s="4">
        <v>45331</v>
      </c>
      <c r="F280" s="4">
        <v>45336</v>
      </c>
      <c r="G280" s="1">
        <v>1</v>
      </c>
      <c r="H280" s="1">
        <v>3.75</v>
      </c>
      <c r="I280" t="s">
        <v>13</v>
      </c>
      <c r="J280" t="s">
        <v>2144</v>
      </c>
      <c r="K280" t="s">
        <v>28</v>
      </c>
      <c r="L280" s="1" t="str">
        <f t="shared" si="24"/>
        <v>2024</v>
      </c>
      <c r="M280" t="str">
        <f t="shared" si="25"/>
        <v>Feb</v>
      </c>
      <c r="N280" t="str">
        <f t="shared" si="26"/>
        <v>Fri</v>
      </c>
      <c r="O280" s="1">
        <f t="shared" si="27"/>
        <v>5</v>
      </c>
      <c r="P280" s="1">
        <f t="shared" si="28"/>
        <v>3.75</v>
      </c>
      <c r="Q280" s="1">
        <f>ROUND(G280*H280*VLOOKUP(D280,'Cost Product'!A$1:C$21,3,FALSE),0)</f>
        <v>2</v>
      </c>
      <c r="R280" s="1">
        <f t="shared" si="29"/>
        <v>1.75</v>
      </c>
    </row>
    <row r="281" spans="1:18" x14ac:dyDescent="0.25">
      <c r="A281" s="1" t="s">
        <v>597</v>
      </c>
      <c r="B281" t="s">
        <v>598</v>
      </c>
      <c r="C281" t="s">
        <v>26</v>
      </c>
      <c r="D281" t="s">
        <v>104</v>
      </c>
      <c r="E281" s="4">
        <v>45232</v>
      </c>
      <c r="F281" s="4">
        <v>45234</v>
      </c>
      <c r="G281" s="1">
        <v>3</v>
      </c>
      <c r="H281" s="1">
        <v>4.5</v>
      </c>
      <c r="I281" t="s">
        <v>13</v>
      </c>
      <c r="J281" t="s">
        <v>2143</v>
      </c>
      <c r="K281" t="s">
        <v>14</v>
      </c>
      <c r="L281" s="1" t="str">
        <f t="shared" si="24"/>
        <v>2023</v>
      </c>
      <c r="M281" t="str">
        <f t="shared" si="25"/>
        <v>Nov</v>
      </c>
      <c r="N281" t="str">
        <f t="shared" si="26"/>
        <v>Thu</v>
      </c>
      <c r="O281" s="1">
        <f t="shared" si="27"/>
        <v>2</v>
      </c>
      <c r="P281" s="1">
        <f t="shared" si="28"/>
        <v>13.5</v>
      </c>
      <c r="Q281" s="1">
        <f>ROUND(G281*H281*VLOOKUP(D281,'Cost Product'!A$1:C$21,3,FALSE),0)</f>
        <v>7</v>
      </c>
      <c r="R281" s="1">
        <f t="shared" si="29"/>
        <v>6.5</v>
      </c>
    </row>
    <row r="282" spans="1:18" x14ac:dyDescent="0.25">
      <c r="A282" s="1" t="s">
        <v>599</v>
      </c>
      <c r="B282" t="s">
        <v>600</v>
      </c>
      <c r="C282" t="s">
        <v>22</v>
      </c>
      <c r="D282" t="s">
        <v>23</v>
      </c>
      <c r="E282" s="4">
        <v>45277</v>
      </c>
      <c r="F282" s="4">
        <v>45283</v>
      </c>
      <c r="G282" s="1">
        <v>2</v>
      </c>
      <c r="H282" s="1">
        <v>10</v>
      </c>
      <c r="I282" t="s">
        <v>13</v>
      </c>
      <c r="J282" t="s">
        <v>2145</v>
      </c>
      <c r="K282" t="s">
        <v>19</v>
      </c>
      <c r="L282" s="1" t="str">
        <f t="shared" si="24"/>
        <v>2023</v>
      </c>
      <c r="M282" t="str">
        <f t="shared" si="25"/>
        <v>Dec</v>
      </c>
      <c r="N282" t="str">
        <f t="shared" si="26"/>
        <v>Sun</v>
      </c>
      <c r="O282" s="1">
        <f t="shared" si="27"/>
        <v>6</v>
      </c>
      <c r="P282" s="1">
        <f t="shared" si="28"/>
        <v>20</v>
      </c>
      <c r="Q282" s="1">
        <f>ROUND(G282*H282*VLOOKUP(D282,'Cost Product'!A$1:C$21,3,FALSE),0)</f>
        <v>13</v>
      </c>
      <c r="R282" s="1">
        <f t="shared" si="29"/>
        <v>7</v>
      </c>
    </row>
    <row r="283" spans="1:18" x14ac:dyDescent="0.25">
      <c r="A283" s="1" t="s">
        <v>601</v>
      </c>
      <c r="B283" t="s">
        <v>602</v>
      </c>
      <c r="C283" t="s">
        <v>65</v>
      </c>
      <c r="D283" t="s">
        <v>99</v>
      </c>
      <c r="E283" s="4">
        <v>45378</v>
      </c>
      <c r="F283" s="4">
        <v>45390</v>
      </c>
      <c r="G283" s="1">
        <v>3</v>
      </c>
      <c r="H283" s="1">
        <v>4</v>
      </c>
      <c r="I283" t="s">
        <v>13</v>
      </c>
      <c r="J283" t="s">
        <v>2141</v>
      </c>
      <c r="K283" t="s">
        <v>19</v>
      </c>
      <c r="L283" s="1" t="str">
        <f t="shared" si="24"/>
        <v>2024</v>
      </c>
      <c r="M283" t="str">
        <f t="shared" si="25"/>
        <v>Mar</v>
      </c>
      <c r="N283" t="str">
        <f t="shared" si="26"/>
        <v>Wed</v>
      </c>
      <c r="O283" s="1">
        <f t="shared" si="27"/>
        <v>12</v>
      </c>
      <c r="P283" s="1">
        <f t="shared" si="28"/>
        <v>12</v>
      </c>
      <c r="Q283" s="1">
        <f>ROUND(G283*H283*VLOOKUP(D283,'Cost Product'!A$1:C$21,3,FALSE),0)</f>
        <v>6</v>
      </c>
      <c r="R283" s="1">
        <f t="shared" si="29"/>
        <v>6</v>
      </c>
    </row>
    <row r="284" spans="1:18" x14ac:dyDescent="0.25">
      <c r="A284" s="1" t="s">
        <v>603</v>
      </c>
      <c r="B284" t="s">
        <v>604</v>
      </c>
      <c r="C284" t="s">
        <v>11</v>
      </c>
      <c r="D284" t="s">
        <v>12</v>
      </c>
      <c r="E284" s="4">
        <v>45547</v>
      </c>
      <c r="F284" s="4">
        <v>45549</v>
      </c>
      <c r="G284" s="1">
        <v>4</v>
      </c>
      <c r="H284" s="1">
        <v>6.5</v>
      </c>
      <c r="I284" t="s">
        <v>13</v>
      </c>
      <c r="J284" t="s">
        <v>2144</v>
      </c>
      <c r="K284" t="s">
        <v>28</v>
      </c>
      <c r="L284" s="1" t="str">
        <f t="shared" si="24"/>
        <v>2024</v>
      </c>
      <c r="M284" t="str">
        <f t="shared" si="25"/>
        <v>Sep</v>
      </c>
      <c r="N284" t="str">
        <f t="shared" si="26"/>
        <v>Thu</v>
      </c>
      <c r="O284" s="1">
        <f t="shared" si="27"/>
        <v>2</v>
      </c>
      <c r="P284" s="1">
        <f t="shared" si="28"/>
        <v>26</v>
      </c>
      <c r="Q284" s="1">
        <f>ROUND(G284*H284*VLOOKUP(D284,'Cost Product'!A$1:C$21,3,FALSE),0)</f>
        <v>15</v>
      </c>
      <c r="R284" s="1">
        <f t="shared" si="29"/>
        <v>11</v>
      </c>
    </row>
    <row r="285" spans="1:18" x14ac:dyDescent="0.25">
      <c r="A285" s="1" t="s">
        <v>605</v>
      </c>
      <c r="B285" t="s">
        <v>606</v>
      </c>
      <c r="C285" t="s">
        <v>65</v>
      </c>
      <c r="D285" t="s">
        <v>115</v>
      </c>
      <c r="E285" s="4">
        <v>45474</v>
      </c>
      <c r="F285" s="4">
        <v>45475</v>
      </c>
      <c r="G285" s="1">
        <v>5</v>
      </c>
      <c r="H285" s="1">
        <v>3</v>
      </c>
      <c r="I285" t="s">
        <v>13</v>
      </c>
      <c r="J285" t="s">
        <v>2145</v>
      </c>
      <c r="K285" t="s">
        <v>19</v>
      </c>
      <c r="L285" s="1" t="str">
        <f t="shared" si="24"/>
        <v>2024</v>
      </c>
      <c r="M285" t="str">
        <f t="shared" si="25"/>
        <v>Jul</v>
      </c>
      <c r="N285" t="str">
        <f t="shared" si="26"/>
        <v>Mon</v>
      </c>
      <c r="O285" s="1">
        <f t="shared" si="27"/>
        <v>1</v>
      </c>
      <c r="P285" s="1">
        <f t="shared" si="28"/>
        <v>15</v>
      </c>
      <c r="Q285" s="1">
        <f>ROUND(G285*H285*VLOOKUP(D285,'Cost Product'!A$1:C$21,3,FALSE),0)</f>
        <v>7</v>
      </c>
      <c r="R285" s="1">
        <f t="shared" si="29"/>
        <v>8</v>
      </c>
    </row>
    <row r="286" spans="1:18" x14ac:dyDescent="0.25">
      <c r="A286" s="1" t="s">
        <v>607</v>
      </c>
      <c r="B286" t="s">
        <v>608</v>
      </c>
      <c r="C286" t="s">
        <v>17</v>
      </c>
      <c r="D286" t="s">
        <v>53</v>
      </c>
      <c r="E286" s="4">
        <v>45153</v>
      </c>
      <c r="F286" s="4">
        <v>45160</v>
      </c>
      <c r="G286" s="1">
        <v>4</v>
      </c>
      <c r="H286" s="1">
        <v>4.75</v>
      </c>
      <c r="I286" t="s">
        <v>13</v>
      </c>
      <c r="J286" t="s">
        <v>2141</v>
      </c>
      <c r="K286" t="s">
        <v>28</v>
      </c>
      <c r="L286" s="1" t="str">
        <f t="shared" si="24"/>
        <v>2023</v>
      </c>
      <c r="M286" t="str">
        <f t="shared" si="25"/>
        <v>Aug</v>
      </c>
      <c r="N286" t="str">
        <f t="shared" si="26"/>
        <v>Tue</v>
      </c>
      <c r="O286" s="1">
        <f t="shared" si="27"/>
        <v>7</v>
      </c>
      <c r="P286" s="1">
        <f t="shared" si="28"/>
        <v>19</v>
      </c>
      <c r="Q286" s="1">
        <f>ROUND(G286*H286*VLOOKUP(D286,'Cost Product'!A$1:C$21,3,FALSE),0)</f>
        <v>10</v>
      </c>
      <c r="R286" s="1">
        <f t="shared" si="29"/>
        <v>9</v>
      </c>
    </row>
    <row r="287" spans="1:18" x14ac:dyDescent="0.25">
      <c r="A287" s="1" t="s">
        <v>609</v>
      </c>
      <c r="B287" t="s">
        <v>610</v>
      </c>
      <c r="C287" t="s">
        <v>22</v>
      </c>
      <c r="D287" t="s">
        <v>23</v>
      </c>
      <c r="E287" s="4">
        <v>45505</v>
      </c>
      <c r="F287" s="4">
        <v>45508</v>
      </c>
      <c r="G287" s="1">
        <v>2</v>
      </c>
      <c r="H287" s="1">
        <v>10</v>
      </c>
      <c r="I287" t="s">
        <v>13</v>
      </c>
      <c r="J287" t="s">
        <v>2143</v>
      </c>
      <c r="K287" t="s">
        <v>14</v>
      </c>
      <c r="L287" s="1" t="str">
        <f t="shared" si="24"/>
        <v>2024</v>
      </c>
      <c r="M287" t="str">
        <f t="shared" si="25"/>
        <v>Aug</v>
      </c>
      <c r="N287" t="str">
        <f t="shared" si="26"/>
        <v>Thu</v>
      </c>
      <c r="O287" s="1">
        <f t="shared" si="27"/>
        <v>3</v>
      </c>
      <c r="P287" s="1">
        <f t="shared" si="28"/>
        <v>20</v>
      </c>
      <c r="Q287" s="1">
        <f>ROUND(G287*H287*VLOOKUP(D287,'Cost Product'!A$1:C$21,3,FALSE),0)</f>
        <v>13</v>
      </c>
      <c r="R287" s="1">
        <f t="shared" si="29"/>
        <v>7</v>
      </c>
    </row>
    <row r="288" spans="1:18" x14ac:dyDescent="0.25">
      <c r="A288" s="1" t="s">
        <v>611</v>
      </c>
      <c r="B288" t="s">
        <v>612</v>
      </c>
      <c r="C288" t="s">
        <v>22</v>
      </c>
      <c r="D288" t="s">
        <v>59</v>
      </c>
      <c r="E288" s="4">
        <v>45256</v>
      </c>
      <c r="F288" s="4">
        <v>45260</v>
      </c>
      <c r="G288" s="1">
        <v>5</v>
      </c>
      <c r="H288" s="1">
        <v>8.5</v>
      </c>
      <c r="I288" t="s">
        <v>40</v>
      </c>
      <c r="J288" t="s">
        <v>2143</v>
      </c>
      <c r="K288" t="s">
        <v>28</v>
      </c>
      <c r="L288" s="1" t="str">
        <f t="shared" si="24"/>
        <v>2023</v>
      </c>
      <c r="M288" t="str">
        <f t="shared" si="25"/>
        <v>Nov</v>
      </c>
      <c r="N288" t="str">
        <f t="shared" si="26"/>
        <v>Sun</v>
      </c>
      <c r="O288" s="1">
        <f t="shared" si="27"/>
        <v>4</v>
      </c>
      <c r="P288" s="1">
        <f t="shared" si="28"/>
        <v>42.5</v>
      </c>
      <c r="Q288" s="1">
        <f>ROUND(G288*H288*VLOOKUP(D288,'Cost Product'!A$1:C$21,3,FALSE),0)</f>
        <v>26</v>
      </c>
      <c r="R288" s="1">
        <f t="shared" si="29"/>
        <v>16.5</v>
      </c>
    </row>
    <row r="289" spans="1:18" x14ac:dyDescent="0.25">
      <c r="A289" s="1" t="s">
        <v>613</v>
      </c>
      <c r="B289" t="s">
        <v>614</v>
      </c>
      <c r="C289" t="s">
        <v>17</v>
      </c>
      <c r="D289" t="s">
        <v>18</v>
      </c>
      <c r="E289" s="4">
        <v>45412</v>
      </c>
      <c r="F289" s="4">
        <v>45413</v>
      </c>
      <c r="G289" s="1">
        <v>1</v>
      </c>
      <c r="H289" s="1">
        <v>5.5</v>
      </c>
      <c r="I289" t="s">
        <v>13</v>
      </c>
      <c r="J289" t="s">
        <v>2143</v>
      </c>
      <c r="K289" t="s">
        <v>28</v>
      </c>
      <c r="L289" s="1" t="str">
        <f t="shared" si="24"/>
        <v>2024</v>
      </c>
      <c r="M289" t="str">
        <f t="shared" si="25"/>
        <v>Apr</v>
      </c>
      <c r="N289" t="str">
        <f t="shared" si="26"/>
        <v>Tue</v>
      </c>
      <c r="O289" s="1">
        <f t="shared" si="27"/>
        <v>1</v>
      </c>
      <c r="P289" s="1">
        <f t="shared" si="28"/>
        <v>5.5</v>
      </c>
      <c r="Q289" s="1">
        <f>ROUND(G289*H289*VLOOKUP(D289,'Cost Product'!A$1:C$21,3,FALSE),0)</f>
        <v>3</v>
      </c>
      <c r="R289" s="1">
        <f t="shared" si="29"/>
        <v>2.5</v>
      </c>
    </row>
    <row r="290" spans="1:18" x14ac:dyDescent="0.25">
      <c r="A290" s="1" t="s">
        <v>615</v>
      </c>
      <c r="B290" t="s">
        <v>616</v>
      </c>
      <c r="C290" t="s">
        <v>65</v>
      </c>
      <c r="D290" t="s">
        <v>66</v>
      </c>
      <c r="E290" s="4">
        <v>45384</v>
      </c>
      <c r="F290" s="4">
        <v>45386</v>
      </c>
      <c r="G290" s="1">
        <v>1</v>
      </c>
      <c r="H290" s="1">
        <v>3.5</v>
      </c>
      <c r="I290" t="s">
        <v>13</v>
      </c>
      <c r="J290" t="s">
        <v>2141</v>
      </c>
      <c r="K290" t="s">
        <v>28</v>
      </c>
      <c r="L290" s="1" t="str">
        <f t="shared" si="24"/>
        <v>2024</v>
      </c>
      <c r="M290" t="str">
        <f t="shared" si="25"/>
        <v>Apr</v>
      </c>
      <c r="N290" t="str">
        <f t="shared" si="26"/>
        <v>Tue</v>
      </c>
      <c r="O290" s="1">
        <f t="shared" si="27"/>
        <v>2</v>
      </c>
      <c r="P290" s="1">
        <f t="shared" si="28"/>
        <v>3.5</v>
      </c>
      <c r="Q290" s="1">
        <f>ROUND(G290*H290*VLOOKUP(D290,'Cost Product'!A$1:C$21,3,FALSE),0)</f>
        <v>2</v>
      </c>
      <c r="R290" s="1">
        <f t="shared" si="29"/>
        <v>1.5</v>
      </c>
    </row>
    <row r="291" spans="1:18" x14ac:dyDescent="0.25">
      <c r="A291" s="1" t="s">
        <v>617</v>
      </c>
      <c r="B291" t="s">
        <v>618</v>
      </c>
      <c r="C291" t="s">
        <v>11</v>
      </c>
      <c r="D291" t="s">
        <v>31</v>
      </c>
      <c r="E291" s="4">
        <v>45350</v>
      </c>
      <c r="F291" s="4">
        <v>45357</v>
      </c>
      <c r="G291" s="1">
        <v>2</v>
      </c>
      <c r="H291" s="1">
        <v>5.5</v>
      </c>
      <c r="I291" t="s">
        <v>13</v>
      </c>
      <c r="J291" t="s">
        <v>2142</v>
      </c>
      <c r="K291" t="s">
        <v>28</v>
      </c>
      <c r="L291" s="1" t="str">
        <f t="shared" si="24"/>
        <v>2024</v>
      </c>
      <c r="M291" t="str">
        <f t="shared" si="25"/>
        <v>Feb</v>
      </c>
      <c r="N291" t="str">
        <f t="shared" si="26"/>
        <v>Wed</v>
      </c>
      <c r="O291" s="1">
        <f t="shared" si="27"/>
        <v>7</v>
      </c>
      <c r="P291" s="1">
        <f t="shared" si="28"/>
        <v>11</v>
      </c>
      <c r="Q291" s="1">
        <f>ROUND(G291*H291*VLOOKUP(D291,'Cost Product'!A$1:C$21,3,FALSE),0)</f>
        <v>6</v>
      </c>
      <c r="R291" s="1">
        <f t="shared" si="29"/>
        <v>5</v>
      </c>
    </row>
    <row r="292" spans="1:18" x14ac:dyDescent="0.25">
      <c r="A292" s="1" t="s">
        <v>619</v>
      </c>
      <c r="B292" t="s">
        <v>620</v>
      </c>
      <c r="C292" t="s">
        <v>65</v>
      </c>
      <c r="D292" t="s">
        <v>115</v>
      </c>
      <c r="E292" s="4">
        <v>45414</v>
      </c>
      <c r="F292" s="4">
        <v>45417</v>
      </c>
      <c r="G292" s="1">
        <v>3</v>
      </c>
      <c r="H292" s="1">
        <v>3</v>
      </c>
      <c r="I292" t="s">
        <v>13</v>
      </c>
      <c r="J292" t="s">
        <v>2145</v>
      </c>
      <c r="K292" t="s">
        <v>28</v>
      </c>
      <c r="L292" s="1" t="str">
        <f t="shared" si="24"/>
        <v>2024</v>
      </c>
      <c r="M292" t="str">
        <f t="shared" si="25"/>
        <v>May</v>
      </c>
      <c r="N292" t="str">
        <f t="shared" si="26"/>
        <v>Thu</v>
      </c>
      <c r="O292" s="1">
        <f t="shared" si="27"/>
        <v>3</v>
      </c>
      <c r="P292" s="1">
        <f t="shared" si="28"/>
        <v>9</v>
      </c>
      <c r="Q292" s="1">
        <f>ROUND(G292*H292*VLOOKUP(D292,'Cost Product'!A$1:C$21,3,FALSE),0)</f>
        <v>4</v>
      </c>
      <c r="R292" s="1">
        <f t="shared" si="29"/>
        <v>5</v>
      </c>
    </row>
    <row r="293" spans="1:18" x14ac:dyDescent="0.25">
      <c r="A293" s="1" t="s">
        <v>621</v>
      </c>
      <c r="B293" t="s">
        <v>622</v>
      </c>
      <c r="C293" t="s">
        <v>22</v>
      </c>
      <c r="D293" t="s">
        <v>59</v>
      </c>
      <c r="E293" s="4">
        <v>45503</v>
      </c>
      <c r="F293" s="4">
        <v>45504</v>
      </c>
      <c r="G293" s="1">
        <v>2</v>
      </c>
      <c r="H293" s="1">
        <v>8.5</v>
      </c>
      <c r="I293" t="s">
        <v>40</v>
      </c>
      <c r="J293" t="s">
        <v>2141</v>
      </c>
      <c r="K293" t="s">
        <v>28</v>
      </c>
      <c r="L293" s="1" t="str">
        <f t="shared" si="24"/>
        <v>2024</v>
      </c>
      <c r="M293" t="str">
        <f t="shared" si="25"/>
        <v>Jul</v>
      </c>
      <c r="N293" t="str">
        <f t="shared" si="26"/>
        <v>Tue</v>
      </c>
      <c r="O293" s="1">
        <f t="shared" si="27"/>
        <v>1</v>
      </c>
      <c r="P293" s="1">
        <f t="shared" si="28"/>
        <v>17</v>
      </c>
      <c r="Q293" s="1">
        <f>ROUND(G293*H293*VLOOKUP(D293,'Cost Product'!A$1:C$21,3,FALSE),0)</f>
        <v>10</v>
      </c>
      <c r="R293" s="1">
        <f t="shared" si="29"/>
        <v>7</v>
      </c>
    </row>
    <row r="294" spans="1:18" x14ac:dyDescent="0.25">
      <c r="A294" s="1" t="s">
        <v>623</v>
      </c>
      <c r="B294" t="s">
        <v>624</v>
      </c>
      <c r="C294" t="s">
        <v>22</v>
      </c>
      <c r="D294" t="s">
        <v>23</v>
      </c>
      <c r="E294" s="4">
        <v>45323</v>
      </c>
      <c r="F294" s="4">
        <v>45326</v>
      </c>
      <c r="G294" s="1">
        <v>5</v>
      </c>
      <c r="H294" s="1">
        <v>10</v>
      </c>
      <c r="I294" t="s">
        <v>13</v>
      </c>
      <c r="J294" t="s">
        <v>2141</v>
      </c>
      <c r="K294" t="s">
        <v>14</v>
      </c>
      <c r="L294" s="1" t="str">
        <f t="shared" si="24"/>
        <v>2024</v>
      </c>
      <c r="M294" t="str">
        <f t="shared" si="25"/>
        <v>Feb</v>
      </c>
      <c r="N294" t="str">
        <f t="shared" si="26"/>
        <v>Thu</v>
      </c>
      <c r="O294" s="1">
        <f t="shared" si="27"/>
        <v>3</v>
      </c>
      <c r="P294" s="1">
        <f t="shared" si="28"/>
        <v>50</v>
      </c>
      <c r="Q294" s="1">
        <f>ROUND(G294*H294*VLOOKUP(D294,'Cost Product'!A$1:C$21,3,FALSE),0)</f>
        <v>33</v>
      </c>
      <c r="R294" s="1">
        <f t="shared" si="29"/>
        <v>17</v>
      </c>
    </row>
    <row r="295" spans="1:18" x14ac:dyDescent="0.25">
      <c r="A295" s="1" t="s">
        <v>625</v>
      </c>
      <c r="B295" t="s">
        <v>626</v>
      </c>
      <c r="C295" t="s">
        <v>22</v>
      </c>
      <c r="D295" t="s">
        <v>62</v>
      </c>
      <c r="E295" s="4">
        <v>45273</v>
      </c>
      <c r="F295" s="4">
        <v>45274</v>
      </c>
      <c r="G295" s="1">
        <v>4</v>
      </c>
      <c r="H295" s="1">
        <v>8</v>
      </c>
      <c r="I295" t="s">
        <v>13</v>
      </c>
      <c r="J295" t="s">
        <v>2146</v>
      </c>
      <c r="K295" t="s">
        <v>28</v>
      </c>
      <c r="L295" s="1" t="str">
        <f t="shared" si="24"/>
        <v>2023</v>
      </c>
      <c r="M295" t="str">
        <f t="shared" si="25"/>
        <v>Dec</v>
      </c>
      <c r="N295" t="str">
        <f t="shared" si="26"/>
        <v>Wed</v>
      </c>
      <c r="O295" s="1">
        <f t="shared" si="27"/>
        <v>1</v>
      </c>
      <c r="P295" s="1">
        <f t="shared" si="28"/>
        <v>32</v>
      </c>
      <c r="Q295" s="1">
        <f>ROUND(G295*H295*VLOOKUP(D295,'Cost Product'!A$1:C$21,3,FALSE),0)</f>
        <v>19</v>
      </c>
      <c r="R295" s="1">
        <f t="shared" si="29"/>
        <v>13</v>
      </c>
    </row>
    <row r="296" spans="1:18" x14ac:dyDescent="0.25">
      <c r="A296" s="1" t="s">
        <v>627</v>
      </c>
      <c r="B296" t="s">
        <v>628</v>
      </c>
      <c r="C296" t="s">
        <v>11</v>
      </c>
      <c r="D296" t="s">
        <v>39</v>
      </c>
      <c r="E296" s="4">
        <v>45319</v>
      </c>
      <c r="F296" s="4">
        <v>45324</v>
      </c>
      <c r="G296" s="1">
        <v>3</v>
      </c>
      <c r="H296" s="1">
        <v>5.75</v>
      </c>
      <c r="I296" t="s">
        <v>13</v>
      </c>
      <c r="J296" t="s">
        <v>2145</v>
      </c>
      <c r="K296" t="s">
        <v>28</v>
      </c>
      <c r="L296" s="1" t="str">
        <f t="shared" si="24"/>
        <v>2024</v>
      </c>
      <c r="M296" t="str">
        <f t="shared" si="25"/>
        <v>Jan</v>
      </c>
      <c r="N296" t="str">
        <f t="shared" si="26"/>
        <v>Sun</v>
      </c>
      <c r="O296" s="1">
        <f t="shared" si="27"/>
        <v>5</v>
      </c>
      <c r="P296" s="1">
        <f t="shared" si="28"/>
        <v>17.25</v>
      </c>
      <c r="Q296" s="1">
        <f>ROUND(G296*H296*VLOOKUP(D296,'Cost Product'!A$1:C$21,3,FALSE),0)</f>
        <v>9</v>
      </c>
      <c r="R296" s="1">
        <f t="shared" si="29"/>
        <v>8.25</v>
      </c>
    </row>
    <row r="297" spans="1:18" x14ac:dyDescent="0.25">
      <c r="A297" s="1" t="s">
        <v>629</v>
      </c>
      <c r="B297" t="s">
        <v>630</v>
      </c>
      <c r="C297" t="s">
        <v>22</v>
      </c>
      <c r="D297" t="s">
        <v>62</v>
      </c>
      <c r="E297" s="4">
        <v>45450</v>
      </c>
      <c r="F297" s="4">
        <v>45452</v>
      </c>
      <c r="G297" s="1">
        <v>2</v>
      </c>
      <c r="H297" s="1">
        <v>8</v>
      </c>
      <c r="I297" t="s">
        <v>13</v>
      </c>
      <c r="J297" t="s">
        <v>2144</v>
      </c>
      <c r="K297" t="s">
        <v>14</v>
      </c>
      <c r="L297" s="1" t="str">
        <f t="shared" si="24"/>
        <v>2024</v>
      </c>
      <c r="M297" t="str">
        <f t="shared" si="25"/>
        <v>Jun</v>
      </c>
      <c r="N297" t="str">
        <f t="shared" si="26"/>
        <v>Fri</v>
      </c>
      <c r="O297" s="1">
        <f t="shared" si="27"/>
        <v>2</v>
      </c>
      <c r="P297" s="1">
        <f t="shared" si="28"/>
        <v>16</v>
      </c>
      <c r="Q297" s="1">
        <f>ROUND(G297*H297*VLOOKUP(D297,'Cost Product'!A$1:C$21,3,FALSE),0)</f>
        <v>9</v>
      </c>
      <c r="R297" s="1">
        <f t="shared" si="29"/>
        <v>7</v>
      </c>
    </row>
    <row r="298" spans="1:18" x14ac:dyDescent="0.25">
      <c r="A298" s="1" t="s">
        <v>631</v>
      </c>
      <c r="B298" t="s">
        <v>632</v>
      </c>
      <c r="C298" t="s">
        <v>22</v>
      </c>
      <c r="D298" t="s">
        <v>59</v>
      </c>
      <c r="E298" s="4">
        <v>45340</v>
      </c>
      <c r="F298" s="4">
        <v>45341</v>
      </c>
      <c r="G298" s="1">
        <v>1</v>
      </c>
      <c r="H298" s="1">
        <v>8.5</v>
      </c>
      <c r="I298" t="s">
        <v>13</v>
      </c>
      <c r="J298" t="s">
        <v>2143</v>
      </c>
      <c r="K298" t="s">
        <v>14</v>
      </c>
      <c r="L298" s="1" t="str">
        <f t="shared" si="24"/>
        <v>2024</v>
      </c>
      <c r="M298" t="str">
        <f t="shared" si="25"/>
        <v>Feb</v>
      </c>
      <c r="N298" t="str">
        <f t="shared" si="26"/>
        <v>Sun</v>
      </c>
      <c r="O298" s="1">
        <f t="shared" si="27"/>
        <v>1</v>
      </c>
      <c r="P298" s="1">
        <f t="shared" si="28"/>
        <v>8.5</v>
      </c>
      <c r="Q298" s="1">
        <f>ROUND(G298*H298*VLOOKUP(D298,'Cost Product'!A$1:C$21,3,FALSE),0)</f>
        <v>5</v>
      </c>
      <c r="R298" s="1">
        <f t="shared" si="29"/>
        <v>3.5</v>
      </c>
    </row>
    <row r="299" spans="1:18" x14ac:dyDescent="0.25">
      <c r="A299" s="1" t="s">
        <v>633</v>
      </c>
      <c r="B299" t="s">
        <v>634</v>
      </c>
      <c r="C299" t="s">
        <v>22</v>
      </c>
      <c r="D299" t="s">
        <v>62</v>
      </c>
      <c r="E299" s="4">
        <v>45437</v>
      </c>
      <c r="F299" s="4">
        <v>45438</v>
      </c>
      <c r="G299" s="1">
        <v>1</v>
      </c>
      <c r="H299" s="1">
        <v>8</v>
      </c>
      <c r="I299" t="s">
        <v>13</v>
      </c>
      <c r="J299" t="s">
        <v>2144</v>
      </c>
      <c r="K299" t="s">
        <v>19</v>
      </c>
      <c r="L299" s="1" t="str">
        <f t="shared" si="24"/>
        <v>2024</v>
      </c>
      <c r="M299" t="str">
        <f t="shared" si="25"/>
        <v>May</v>
      </c>
      <c r="N299" t="str">
        <f t="shared" si="26"/>
        <v>Sat</v>
      </c>
      <c r="O299" s="1">
        <f t="shared" si="27"/>
        <v>1</v>
      </c>
      <c r="P299" s="1">
        <f t="shared" si="28"/>
        <v>8</v>
      </c>
      <c r="Q299" s="1">
        <f>ROUND(G299*H299*VLOOKUP(D299,'Cost Product'!A$1:C$21,3,FALSE),0)</f>
        <v>5</v>
      </c>
      <c r="R299" s="1">
        <f t="shared" si="29"/>
        <v>3</v>
      </c>
    </row>
    <row r="300" spans="1:18" x14ac:dyDescent="0.25">
      <c r="A300" s="1" t="s">
        <v>635</v>
      </c>
      <c r="B300" t="s">
        <v>636</v>
      </c>
      <c r="C300" t="s">
        <v>22</v>
      </c>
      <c r="D300" t="s">
        <v>62</v>
      </c>
      <c r="E300" s="4">
        <v>45108</v>
      </c>
      <c r="F300" s="4">
        <v>45111</v>
      </c>
      <c r="G300" s="1">
        <v>4</v>
      </c>
      <c r="H300" s="1">
        <v>8</v>
      </c>
      <c r="I300" t="s">
        <v>13</v>
      </c>
      <c r="J300" t="s">
        <v>2145</v>
      </c>
      <c r="K300" t="s">
        <v>28</v>
      </c>
      <c r="L300" s="1" t="str">
        <f t="shared" si="24"/>
        <v>2023</v>
      </c>
      <c r="M300" t="str">
        <f t="shared" si="25"/>
        <v>Jul</v>
      </c>
      <c r="N300" t="str">
        <f t="shared" si="26"/>
        <v>Sat</v>
      </c>
      <c r="O300" s="1">
        <f t="shared" si="27"/>
        <v>3</v>
      </c>
      <c r="P300" s="1">
        <f t="shared" si="28"/>
        <v>32</v>
      </c>
      <c r="Q300" s="1">
        <f>ROUND(G300*H300*VLOOKUP(D300,'Cost Product'!A$1:C$21,3,FALSE),0)</f>
        <v>19</v>
      </c>
      <c r="R300" s="1">
        <f t="shared" si="29"/>
        <v>13</v>
      </c>
    </row>
    <row r="301" spans="1:18" x14ac:dyDescent="0.25">
      <c r="A301" s="1" t="s">
        <v>637</v>
      </c>
      <c r="B301" t="s">
        <v>638</v>
      </c>
      <c r="C301" t="s">
        <v>65</v>
      </c>
      <c r="D301" t="s">
        <v>99</v>
      </c>
      <c r="E301" s="4">
        <v>45471</v>
      </c>
      <c r="F301" s="4">
        <v>45472</v>
      </c>
      <c r="G301" s="1">
        <v>4</v>
      </c>
      <c r="H301" s="1">
        <v>4</v>
      </c>
      <c r="I301" t="s">
        <v>13</v>
      </c>
      <c r="J301" t="s">
        <v>2142</v>
      </c>
      <c r="K301" t="s">
        <v>28</v>
      </c>
      <c r="L301" s="1" t="str">
        <f t="shared" si="24"/>
        <v>2024</v>
      </c>
      <c r="M301" t="str">
        <f t="shared" si="25"/>
        <v>Jun</v>
      </c>
      <c r="N301" t="str">
        <f t="shared" si="26"/>
        <v>Fri</v>
      </c>
      <c r="O301" s="1">
        <f t="shared" si="27"/>
        <v>1</v>
      </c>
      <c r="P301" s="1">
        <f t="shared" si="28"/>
        <v>16</v>
      </c>
      <c r="Q301" s="1">
        <f>ROUND(G301*H301*VLOOKUP(D301,'Cost Product'!A$1:C$21,3,FALSE),0)</f>
        <v>8</v>
      </c>
      <c r="R301" s="1">
        <f t="shared" si="29"/>
        <v>8</v>
      </c>
    </row>
    <row r="302" spans="1:18" x14ac:dyDescent="0.25">
      <c r="A302" s="1" t="s">
        <v>639</v>
      </c>
      <c r="B302" t="s">
        <v>640</v>
      </c>
      <c r="C302" t="s">
        <v>17</v>
      </c>
      <c r="D302" t="s">
        <v>18</v>
      </c>
      <c r="E302" s="4">
        <v>45558</v>
      </c>
      <c r="F302" s="4">
        <v>45560</v>
      </c>
      <c r="G302" s="1">
        <v>4</v>
      </c>
      <c r="H302" s="1">
        <v>5.5</v>
      </c>
      <c r="I302" t="s">
        <v>13</v>
      </c>
      <c r="J302" t="s">
        <v>2141</v>
      </c>
      <c r="K302" t="s">
        <v>28</v>
      </c>
      <c r="L302" s="1" t="str">
        <f t="shared" si="24"/>
        <v>2024</v>
      </c>
      <c r="M302" t="str">
        <f t="shared" si="25"/>
        <v>Sep</v>
      </c>
      <c r="N302" t="str">
        <f t="shared" si="26"/>
        <v>Mon</v>
      </c>
      <c r="O302" s="1">
        <f t="shared" si="27"/>
        <v>2</v>
      </c>
      <c r="P302" s="1">
        <f t="shared" si="28"/>
        <v>22</v>
      </c>
      <c r="Q302" s="1">
        <f>ROUND(G302*H302*VLOOKUP(D302,'Cost Product'!A$1:C$21,3,FALSE),0)</f>
        <v>13</v>
      </c>
      <c r="R302" s="1">
        <f t="shared" si="29"/>
        <v>9</v>
      </c>
    </row>
    <row r="303" spans="1:18" x14ac:dyDescent="0.25">
      <c r="A303" s="1" t="s">
        <v>641</v>
      </c>
      <c r="B303" t="s">
        <v>642</v>
      </c>
      <c r="C303" t="s">
        <v>26</v>
      </c>
      <c r="D303" t="s">
        <v>104</v>
      </c>
      <c r="E303" s="4">
        <v>45321</v>
      </c>
      <c r="F303" s="4">
        <v>45323</v>
      </c>
      <c r="G303" s="1">
        <v>3</v>
      </c>
      <c r="H303" s="1">
        <v>4.5</v>
      </c>
      <c r="I303" t="s">
        <v>13</v>
      </c>
      <c r="J303" t="s">
        <v>2144</v>
      </c>
      <c r="K303" t="s">
        <v>19</v>
      </c>
      <c r="L303" s="1" t="str">
        <f t="shared" si="24"/>
        <v>2024</v>
      </c>
      <c r="M303" t="str">
        <f t="shared" si="25"/>
        <v>Jan</v>
      </c>
      <c r="N303" t="str">
        <f t="shared" si="26"/>
        <v>Tue</v>
      </c>
      <c r="O303" s="1">
        <f t="shared" si="27"/>
        <v>2</v>
      </c>
      <c r="P303" s="1">
        <f t="shared" si="28"/>
        <v>13.5</v>
      </c>
      <c r="Q303" s="1">
        <f>ROUND(G303*H303*VLOOKUP(D303,'Cost Product'!A$1:C$21,3,FALSE),0)</f>
        <v>7</v>
      </c>
      <c r="R303" s="1">
        <f t="shared" si="29"/>
        <v>6.5</v>
      </c>
    </row>
    <row r="304" spans="1:18" x14ac:dyDescent="0.25">
      <c r="A304" s="1" t="s">
        <v>643</v>
      </c>
      <c r="B304" t="s">
        <v>644</v>
      </c>
      <c r="C304" t="s">
        <v>11</v>
      </c>
      <c r="D304" t="s">
        <v>12</v>
      </c>
      <c r="E304" s="4">
        <v>45264</v>
      </c>
      <c r="F304" s="4">
        <v>45271</v>
      </c>
      <c r="G304" s="1">
        <v>4</v>
      </c>
      <c r="H304" s="1">
        <v>6.5</v>
      </c>
      <c r="I304" t="s">
        <v>13</v>
      </c>
      <c r="J304" t="s">
        <v>2143</v>
      </c>
      <c r="K304" t="s">
        <v>19</v>
      </c>
      <c r="L304" s="1" t="str">
        <f t="shared" si="24"/>
        <v>2023</v>
      </c>
      <c r="M304" t="str">
        <f t="shared" si="25"/>
        <v>Dec</v>
      </c>
      <c r="N304" t="str">
        <f t="shared" si="26"/>
        <v>Mon</v>
      </c>
      <c r="O304" s="1">
        <f t="shared" si="27"/>
        <v>7</v>
      </c>
      <c r="P304" s="1">
        <f t="shared" si="28"/>
        <v>26</v>
      </c>
      <c r="Q304" s="1">
        <f>ROUND(G304*H304*VLOOKUP(D304,'Cost Product'!A$1:C$21,3,FALSE),0)</f>
        <v>15</v>
      </c>
      <c r="R304" s="1">
        <f t="shared" si="29"/>
        <v>11</v>
      </c>
    </row>
    <row r="305" spans="1:18" x14ac:dyDescent="0.25">
      <c r="A305" s="1" t="s">
        <v>645</v>
      </c>
      <c r="B305" t="s">
        <v>646</v>
      </c>
      <c r="C305" t="s">
        <v>22</v>
      </c>
      <c r="D305" t="s">
        <v>59</v>
      </c>
      <c r="E305" s="4">
        <v>45470</v>
      </c>
      <c r="F305" s="4">
        <v>45473</v>
      </c>
      <c r="G305" s="1">
        <v>5</v>
      </c>
      <c r="H305" s="1">
        <v>8.5</v>
      </c>
      <c r="I305" t="s">
        <v>13</v>
      </c>
      <c r="J305" t="s">
        <v>2141</v>
      </c>
      <c r="K305" t="s">
        <v>14</v>
      </c>
      <c r="L305" s="1" t="str">
        <f t="shared" si="24"/>
        <v>2024</v>
      </c>
      <c r="M305" t="str">
        <f t="shared" si="25"/>
        <v>Jun</v>
      </c>
      <c r="N305" t="str">
        <f t="shared" si="26"/>
        <v>Thu</v>
      </c>
      <c r="O305" s="1">
        <f t="shared" si="27"/>
        <v>3</v>
      </c>
      <c r="P305" s="1">
        <f t="shared" si="28"/>
        <v>42.5</v>
      </c>
      <c r="Q305" s="1">
        <f>ROUND(G305*H305*VLOOKUP(D305,'Cost Product'!A$1:C$21,3,FALSE),0)</f>
        <v>26</v>
      </c>
      <c r="R305" s="1">
        <f t="shared" si="29"/>
        <v>16.5</v>
      </c>
    </row>
    <row r="306" spans="1:18" x14ac:dyDescent="0.25">
      <c r="A306" s="1" t="s">
        <v>647</v>
      </c>
      <c r="B306" t="s">
        <v>648</v>
      </c>
      <c r="C306" t="s">
        <v>65</v>
      </c>
      <c r="D306" t="s">
        <v>120</v>
      </c>
      <c r="E306" s="4">
        <v>45290</v>
      </c>
      <c r="F306" s="4">
        <v>45292</v>
      </c>
      <c r="G306" s="1">
        <v>3</v>
      </c>
      <c r="H306" s="1">
        <v>3.75</v>
      </c>
      <c r="I306" t="s">
        <v>13</v>
      </c>
      <c r="J306" t="s">
        <v>2142</v>
      </c>
      <c r="K306" t="s">
        <v>28</v>
      </c>
      <c r="L306" s="1" t="str">
        <f t="shared" si="24"/>
        <v>2023</v>
      </c>
      <c r="M306" t="str">
        <f t="shared" si="25"/>
        <v>Dec</v>
      </c>
      <c r="N306" t="str">
        <f t="shared" si="26"/>
        <v>Sat</v>
      </c>
      <c r="O306" s="1">
        <f t="shared" si="27"/>
        <v>2</v>
      </c>
      <c r="P306" s="1">
        <f t="shared" si="28"/>
        <v>11.25</v>
      </c>
      <c r="Q306" s="1">
        <f>ROUND(G306*H306*VLOOKUP(D306,'Cost Product'!A$1:C$21,3,FALSE),0)</f>
        <v>6</v>
      </c>
      <c r="R306" s="1">
        <f t="shared" si="29"/>
        <v>5.25</v>
      </c>
    </row>
    <row r="307" spans="1:18" x14ac:dyDescent="0.25">
      <c r="A307" s="1" t="s">
        <v>649</v>
      </c>
      <c r="B307" t="s">
        <v>650</v>
      </c>
      <c r="C307" t="s">
        <v>11</v>
      </c>
      <c r="D307" t="s">
        <v>31</v>
      </c>
      <c r="E307" s="4">
        <v>45377</v>
      </c>
      <c r="F307" s="4">
        <v>45379</v>
      </c>
      <c r="G307" s="1">
        <v>4</v>
      </c>
      <c r="H307" s="1">
        <v>5.5</v>
      </c>
      <c r="I307" t="s">
        <v>13</v>
      </c>
      <c r="J307" t="s">
        <v>2141</v>
      </c>
      <c r="K307" t="s">
        <v>19</v>
      </c>
      <c r="L307" s="1" t="str">
        <f t="shared" si="24"/>
        <v>2024</v>
      </c>
      <c r="M307" t="str">
        <f t="shared" si="25"/>
        <v>Mar</v>
      </c>
      <c r="N307" t="str">
        <f t="shared" si="26"/>
        <v>Tue</v>
      </c>
      <c r="O307" s="1">
        <f t="shared" si="27"/>
        <v>2</v>
      </c>
      <c r="P307" s="1">
        <f t="shared" si="28"/>
        <v>22</v>
      </c>
      <c r="Q307" s="1">
        <f>ROUND(G307*H307*VLOOKUP(D307,'Cost Product'!A$1:C$21,3,FALSE),0)</f>
        <v>11</v>
      </c>
      <c r="R307" s="1">
        <f t="shared" si="29"/>
        <v>11</v>
      </c>
    </row>
    <row r="308" spans="1:18" x14ac:dyDescent="0.25">
      <c r="A308" s="1" t="s">
        <v>651</v>
      </c>
      <c r="B308" t="s">
        <v>652</v>
      </c>
      <c r="C308" t="s">
        <v>17</v>
      </c>
      <c r="D308" t="s">
        <v>53</v>
      </c>
      <c r="E308" s="4">
        <v>45478</v>
      </c>
      <c r="F308" s="4">
        <v>45480</v>
      </c>
      <c r="G308" s="1">
        <v>1</v>
      </c>
      <c r="H308" s="1">
        <v>4.75</v>
      </c>
      <c r="I308" t="s">
        <v>13</v>
      </c>
      <c r="J308" t="s">
        <v>2141</v>
      </c>
      <c r="K308" t="s">
        <v>14</v>
      </c>
      <c r="L308" s="1" t="str">
        <f t="shared" si="24"/>
        <v>2024</v>
      </c>
      <c r="M308" t="str">
        <f t="shared" si="25"/>
        <v>Jul</v>
      </c>
      <c r="N308" t="str">
        <f t="shared" si="26"/>
        <v>Fri</v>
      </c>
      <c r="O308" s="1">
        <f t="shared" si="27"/>
        <v>2</v>
      </c>
      <c r="P308" s="1">
        <f t="shared" si="28"/>
        <v>4.75</v>
      </c>
      <c r="Q308" s="1">
        <f>ROUND(G308*H308*VLOOKUP(D308,'Cost Product'!A$1:C$21,3,FALSE),0)</f>
        <v>3</v>
      </c>
      <c r="R308" s="1">
        <f t="shared" si="29"/>
        <v>1.75</v>
      </c>
    </row>
    <row r="309" spans="1:18" x14ac:dyDescent="0.25">
      <c r="A309" s="1" t="s">
        <v>653</v>
      </c>
      <c r="B309" t="s">
        <v>654</v>
      </c>
      <c r="C309" t="s">
        <v>26</v>
      </c>
      <c r="D309" t="s">
        <v>45</v>
      </c>
      <c r="E309" s="4">
        <v>45405</v>
      </c>
      <c r="F309" s="4">
        <v>45407</v>
      </c>
      <c r="G309" s="1">
        <v>1</v>
      </c>
      <c r="H309" s="1">
        <v>4.5</v>
      </c>
      <c r="I309" t="s">
        <v>40</v>
      </c>
      <c r="J309" t="s">
        <v>2143</v>
      </c>
      <c r="K309" t="s">
        <v>28</v>
      </c>
      <c r="L309" s="1" t="str">
        <f t="shared" si="24"/>
        <v>2024</v>
      </c>
      <c r="M309" t="str">
        <f t="shared" si="25"/>
        <v>Apr</v>
      </c>
      <c r="N309" t="str">
        <f t="shared" si="26"/>
        <v>Tue</v>
      </c>
      <c r="O309" s="1">
        <f t="shared" si="27"/>
        <v>2</v>
      </c>
      <c r="P309" s="1">
        <f t="shared" si="28"/>
        <v>4.5</v>
      </c>
      <c r="Q309" s="1">
        <f>ROUND(G309*H309*VLOOKUP(D309,'Cost Product'!A$1:C$21,3,FALSE),0)</f>
        <v>2</v>
      </c>
      <c r="R309" s="1">
        <f t="shared" si="29"/>
        <v>2.5</v>
      </c>
    </row>
    <row r="310" spans="1:18" x14ac:dyDescent="0.25">
      <c r="A310" s="1" t="s">
        <v>655</v>
      </c>
      <c r="B310" t="s">
        <v>656</v>
      </c>
      <c r="C310" t="s">
        <v>65</v>
      </c>
      <c r="D310" t="s">
        <v>66</v>
      </c>
      <c r="E310" s="4">
        <v>45345</v>
      </c>
      <c r="F310" s="4">
        <v>45347</v>
      </c>
      <c r="G310" s="1">
        <v>1</v>
      </c>
      <c r="H310" s="1">
        <v>3.5</v>
      </c>
      <c r="I310" t="s">
        <v>13</v>
      </c>
      <c r="J310" t="s">
        <v>2145</v>
      </c>
      <c r="K310" t="s">
        <v>19</v>
      </c>
      <c r="L310" s="1" t="str">
        <f t="shared" si="24"/>
        <v>2024</v>
      </c>
      <c r="M310" t="str">
        <f t="shared" si="25"/>
        <v>Feb</v>
      </c>
      <c r="N310" t="str">
        <f t="shared" si="26"/>
        <v>Fri</v>
      </c>
      <c r="O310" s="1">
        <f t="shared" si="27"/>
        <v>2</v>
      </c>
      <c r="P310" s="1">
        <f t="shared" si="28"/>
        <v>3.5</v>
      </c>
      <c r="Q310" s="1">
        <f>ROUND(G310*H310*VLOOKUP(D310,'Cost Product'!A$1:C$21,3,FALSE),0)</f>
        <v>2</v>
      </c>
      <c r="R310" s="1">
        <f t="shared" si="29"/>
        <v>1.5</v>
      </c>
    </row>
    <row r="311" spans="1:18" x14ac:dyDescent="0.25">
      <c r="A311" s="1" t="s">
        <v>657</v>
      </c>
      <c r="B311" t="s">
        <v>658</v>
      </c>
      <c r="C311" t="s">
        <v>65</v>
      </c>
      <c r="D311" t="s">
        <v>99</v>
      </c>
      <c r="E311" s="4">
        <v>45503</v>
      </c>
      <c r="F311" s="4">
        <v>45505</v>
      </c>
      <c r="G311" s="1">
        <v>2</v>
      </c>
      <c r="H311" s="1">
        <v>4</v>
      </c>
      <c r="I311" t="s">
        <v>13</v>
      </c>
      <c r="J311" t="s">
        <v>2146</v>
      </c>
      <c r="K311" t="s">
        <v>28</v>
      </c>
      <c r="L311" s="1" t="str">
        <f t="shared" si="24"/>
        <v>2024</v>
      </c>
      <c r="M311" t="str">
        <f t="shared" si="25"/>
        <v>Jul</v>
      </c>
      <c r="N311" t="str">
        <f t="shared" si="26"/>
        <v>Tue</v>
      </c>
      <c r="O311" s="1">
        <f t="shared" si="27"/>
        <v>2</v>
      </c>
      <c r="P311" s="1">
        <f t="shared" si="28"/>
        <v>8</v>
      </c>
      <c r="Q311" s="1">
        <f>ROUND(G311*H311*VLOOKUP(D311,'Cost Product'!A$1:C$21,3,FALSE),0)</f>
        <v>4</v>
      </c>
      <c r="R311" s="1">
        <f t="shared" si="29"/>
        <v>4</v>
      </c>
    </row>
    <row r="312" spans="1:18" x14ac:dyDescent="0.25">
      <c r="A312" s="1" t="s">
        <v>659</v>
      </c>
      <c r="B312" t="s">
        <v>660</v>
      </c>
      <c r="C312" t="s">
        <v>65</v>
      </c>
      <c r="D312" t="s">
        <v>115</v>
      </c>
      <c r="E312" s="4">
        <v>45319</v>
      </c>
      <c r="F312" s="4">
        <v>45320</v>
      </c>
      <c r="G312" s="1">
        <v>5</v>
      </c>
      <c r="H312" s="1">
        <v>3</v>
      </c>
      <c r="I312" t="s">
        <v>13</v>
      </c>
      <c r="J312" t="s">
        <v>2142</v>
      </c>
      <c r="K312" t="s">
        <v>19</v>
      </c>
      <c r="L312" s="1" t="str">
        <f t="shared" si="24"/>
        <v>2024</v>
      </c>
      <c r="M312" t="str">
        <f t="shared" si="25"/>
        <v>Jan</v>
      </c>
      <c r="N312" t="str">
        <f t="shared" si="26"/>
        <v>Sun</v>
      </c>
      <c r="O312" s="1">
        <f t="shared" si="27"/>
        <v>1</v>
      </c>
      <c r="P312" s="1">
        <f t="shared" si="28"/>
        <v>15</v>
      </c>
      <c r="Q312" s="1">
        <f>ROUND(G312*H312*VLOOKUP(D312,'Cost Product'!A$1:C$21,3,FALSE),0)</f>
        <v>7</v>
      </c>
      <c r="R312" s="1">
        <f t="shared" si="29"/>
        <v>8</v>
      </c>
    </row>
    <row r="313" spans="1:18" x14ac:dyDescent="0.25">
      <c r="A313" s="1" t="s">
        <v>661</v>
      </c>
      <c r="B313" t="s">
        <v>662</v>
      </c>
      <c r="C313" t="s">
        <v>26</v>
      </c>
      <c r="D313" t="s">
        <v>45</v>
      </c>
      <c r="E313" s="4">
        <v>45108</v>
      </c>
      <c r="F313" s="4">
        <v>45111</v>
      </c>
      <c r="G313" s="1">
        <v>5</v>
      </c>
      <c r="H313" s="1">
        <v>4.5</v>
      </c>
      <c r="I313" t="s">
        <v>13</v>
      </c>
      <c r="J313" t="s">
        <v>2142</v>
      </c>
      <c r="K313" t="s">
        <v>28</v>
      </c>
      <c r="L313" s="1" t="str">
        <f t="shared" si="24"/>
        <v>2023</v>
      </c>
      <c r="M313" t="str">
        <f t="shared" si="25"/>
        <v>Jul</v>
      </c>
      <c r="N313" t="str">
        <f t="shared" si="26"/>
        <v>Sat</v>
      </c>
      <c r="O313" s="1">
        <f t="shared" si="27"/>
        <v>3</v>
      </c>
      <c r="P313" s="1">
        <f t="shared" si="28"/>
        <v>22.5</v>
      </c>
      <c r="Q313" s="1">
        <f>ROUND(G313*H313*VLOOKUP(D313,'Cost Product'!A$1:C$21,3,FALSE),0)</f>
        <v>12</v>
      </c>
      <c r="R313" s="1">
        <f t="shared" si="29"/>
        <v>10.5</v>
      </c>
    </row>
    <row r="314" spans="1:18" x14ac:dyDescent="0.25">
      <c r="A314" s="1" t="s">
        <v>663</v>
      </c>
      <c r="B314" t="s">
        <v>664</v>
      </c>
      <c r="C314" t="s">
        <v>17</v>
      </c>
      <c r="D314" t="s">
        <v>18</v>
      </c>
      <c r="E314" s="4">
        <v>45120</v>
      </c>
      <c r="F314" s="4">
        <v>45126</v>
      </c>
      <c r="G314" s="1">
        <v>5</v>
      </c>
      <c r="H314" s="1">
        <v>5.5</v>
      </c>
      <c r="I314" t="s">
        <v>40</v>
      </c>
      <c r="J314" t="s">
        <v>2141</v>
      </c>
      <c r="K314" t="s">
        <v>28</v>
      </c>
      <c r="L314" s="1" t="str">
        <f t="shared" si="24"/>
        <v>2023</v>
      </c>
      <c r="M314" t="str">
        <f t="shared" si="25"/>
        <v>Jul</v>
      </c>
      <c r="N314" t="str">
        <f t="shared" si="26"/>
        <v>Thu</v>
      </c>
      <c r="O314" s="1">
        <f t="shared" si="27"/>
        <v>6</v>
      </c>
      <c r="P314" s="1">
        <f t="shared" si="28"/>
        <v>27.5</v>
      </c>
      <c r="Q314" s="1">
        <f>ROUND(G314*H314*VLOOKUP(D314,'Cost Product'!A$1:C$21,3,FALSE),0)</f>
        <v>17</v>
      </c>
      <c r="R314" s="1">
        <f t="shared" si="29"/>
        <v>10.5</v>
      </c>
    </row>
    <row r="315" spans="1:18" x14ac:dyDescent="0.25">
      <c r="A315" s="1" t="s">
        <v>665</v>
      </c>
      <c r="B315" t="s">
        <v>666</v>
      </c>
      <c r="C315" t="s">
        <v>11</v>
      </c>
      <c r="D315" t="s">
        <v>31</v>
      </c>
      <c r="E315" s="4">
        <v>45298</v>
      </c>
      <c r="F315" s="4">
        <v>45304</v>
      </c>
      <c r="G315" s="1">
        <v>1</v>
      </c>
      <c r="H315" s="1">
        <v>5.5</v>
      </c>
      <c r="I315" t="s">
        <v>13</v>
      </c>
      <c r="J315" t="s">
        <v>2142</v>
      </c>
      <c r="K315" t="s">
        <v>19</v>
      </c>
      <c r="L315" s="1" t="str">
        <f t="shared" si="24"/>
        <v>2024</v>
      </c>
      <c r="M315" t="str">
        <f t="shared" si="25"/>
        <v>Jan</v>
      </c>
      <c r="N315" t="str">
        <f t="shared" si="26"/>
        <v>Sun</v>
      </c>
      <c r="O315" s="1">
        <f t="shared" si="27"/>
        <v>6</v>
      </c>
      <c r="P315" s="1">
        <f t="shared" si="28"/>
        <v>5.5</v>
      </c>
      <c r="Q315" s="1">
        <f>ROUND(G315*H315*VLOOKUP(D315,'Cost Product'!A$1:C$21,3,FALSE),0)</f>
        <v>3</v>
      </c>
      <c r="R315" s="1">
        <f t="shared" si="29"/>
        <v>2.5</v>
      </c>
    </row>
    <row r="316" spans="1:18" x14ac:dyDescent="0.25">
      <c r="A316" s="1" t="s">
        <v>667</v>
      </c>
      <c r="B316" t="s">
        <v>668</v>
      </c>
      <c r="C316" t="s">
        <v>26</v>
      </c>
      <c r="D316" t="s">
        <v>104</v>
      </c>
      <c r="E316" s="4">
        <v>45530</v>
      </c>
      <c r="F316" s="4">
        <v>45533</v>
      </c>
      <c r="G316" s="1">
        <v>2</v>
      </c>
      <c r="H316" s="1">
        <v>4.5</v>
      </c>
      <c r="I316" t="s">
        <v>13</v>
      </c>
      <c r="J316" t="s">
        <v>2143</v>
      </c>
      <c r="K316" t="s">
        <v>19</v>
      </c>
      <c r="L316" s="1" t="str">
        <f t="shared" si="24"/>
        <v>2024</v>
      </c>
      <c r="M316" t="str">
        <f t="shared" si="25"/>
        <v>Aug</v>
      </c>
      <c r="N316" t="str">
        <f t="shared" si="26"/>
        <v>Mon</v>
      </c>
      <c r="O316" s="1">
        <f t="shared" si="27"/>
        <v>3</v>
      </c>
      <c r="P316" s="1">
        <f t="shared" si="28"/>
        <v>9</v>
      </c>
      <c r="Q316" s="1">
        <f>ROUND(G316*H316*VLOOKUP(D316,'Cost Product'!A$1:C$21,3,FALSE),0)</f>
        <v>5</v>
      </c>
      <c r="R316" s="1">
        <f t="shared" si="29"/>
        <v>4</v>
      </c>
    </row>
    <row r="317" spans="1:18" x14ac:dyDescent="0.25">
      <c r="A317" s="1" t="s">
        <v>669</v>
      </c>
      <c r="B317" t="s">
        <v>670</v>
      </c>
      <c r="C317" t="s">
        <v>17</v>
      </c>
      <c r="D317" t="s">
        <v>79</v>
      </c>
      <c r="E317" s="4">
        <v>45189</v>
      </c>
      <c r="F317" s="4">
        <v>45191</v>
      </c>
      <c r="G317" s="1">
        <v>3</v>
      </c>
      <c r="H317" s="1">
        <v>5</v>
      </c>
      <c r="I317" t="s">
        <v>13</v>
      </c>
      <c r="J317" t="s">
        <v>2141</v>
      </c>
      <c r="K317" t="s">
        <v>14</v>
      </c>
      <c r="L317" s="1" t="str">
        <f t="shared" si="24"/>
        <v>2023</v>
      </c>
      <c r="M317" t="str">
        <f t="shared" si="25"/>
        <v>Sep</v>
      </c>
      <c r="N317" t="str">
        <f t="shared" si="26"/>
        <v>Wed</v>
      </c>
      <c r="O317" s="1">
        <f t="shared" si="27"/>
        <v>2</v>
      </c>
      <c r="P317" s="1">
        <f t="shared" si="28"/>
        <v>15</v>
      </c>
      <c r="Q317" s="1">
        <f>ROUND(G317*H317*VLOOKUP(D317,'Cost Product'!A$1:C$21,3,FALSE),0)</f>
        <v>8</v>
      </c>
      <c r="R317" s="1">
        <f t="shared" si="29"/>
        <v>7</v>
      </c>
    </row>
    <row r="318" spans="1:18" x14ac:dyDescent="0.25">
      <c r="A318" s="1" t="s">
        <v>671</v>
      </c>
      <c r="B318" t="s">
        <v>672</v>
      </c>
      <c r="C318" t="s">
        <v>17</v>
      </c>
      <c r="D318" t="s">
        <v>50</v>
      </c>
      <c r="E318" s="4">
        <v>45575</v>
      </c>
      <c r="F318" s="4">
        <v>45578</v>
      </c>
      <c r="G318" s="1">
        <v>4</v>
      </c>
      <c r="H318" s="1">
        <v>5.25</v>
      </c>
      <c r="I318" t="s">
        <v>40</v>
      </c>
      <c r="J318" t="s">
        <v>2144</v>
      </c>
      <c r="K318" t="s">
        <v>28</v>
      </c>
      <c r="L318" s="1" t="str">
        <f t="shared" si="24"/>
        <v>2024</v>
      </c>
      <c r="M318" t="str">
        <f t="shared" si="25"/>
        <v>Oct</v>
      </c>
      <c r="N318" t="str">
        <f t="shared" si="26"/>
        <v>Thu</v>
      </c>
      <c r="O318" s="1">
        <f t="shared" si="27"/>
        <v>3</v>
      </c>
      <c r="P318" s="1">
        <f t="shared" si="28"/>
        <v>21</v>
      </c>
      <c r="Q318" s="1">
        <f>ROUND(G318*H318*VLOOKUP(D318,'Cost Product'!A$1:C$21,3,FALSE),0)</f>
        <v>12</v>
      </c>
      <c r="R318" s="1">
        <f t="shared" si="29"/>
        <v>9</v>
      </c>
    </row>
    <row r="319" spans="1:18" x14ac:dyDescent="0.25">
      <c r="A319" s="1" t="s">
        <v>673</v>
      </c>
      <c r="B319" t="s">
        <v>674</v>
      </c>
      <c r="C319" t="s">
        <v>65</v>
      </c>
      <c r="D319" t="s">
        <v>99</v>
      </c>
      <c r="E319" s="4">
        <v>45114</v>
      </c>
      <c r="F319" s="4">
        <v>45116</v>
      </c>
      <c r="G319" s="1">
        <v>5</v>
      </c>
      <c r="H319" s="1">
        <v>4</v>
      </c>
      <c r="I319" t="s">
        <v>13</v>
      </c>
      <c r="J319" t="s">
        <v>2143</v>
      </c>
      <c r="K319" t="s">
        <v>28</v>
      </c>
      <c r="L319" s="1" t="str">
        <f t="shared" si="24"/>
        <v>2023</v>
      </c>
      <c r="M319" t="str">
        <f t="shared" si="25"/>
        <v>Jul</v>
      </c>
      <c r="N319" t="str">
        <f t="shared" si="26"/>
        <v>Fri</v>
      </c>
      <c r="O319" s="1">
        <f t="shared" si="27"/>
        <v>2</v>
      </c>
      <c r="P319" s="1">
        <f t="shared" si="28"/>
        <v>20</v>
      </c>
      <c r="Q319" s="1">
        <f>ROUND(G319*H319*VLOOKUP(D319,'Cost Product'!A$1:C$21,3,FALSE),0)</f>
        <v>10</v>
      </c>
      <c r="R319" s="1">
        <f t="shared" si="29"/>
        <v>10</v>
      </c>
    </row>
    <row r="320" spans="1:18" x14ac:dyDescent="0.25">
      <c r="A320" s="1" t="s">
        <v>675</v>
      </c>
      <c r="B320" t="s">
        <v>676</v>
      </c>
      <c r="C320" t="s">
        <v>22</v>
      </c>
      <c r="D320" t="s">
        <v>62</v>
      </c>
      <c r="E320" s="4">
        <v>45325</v>
      </c>
      <c r="F320" s="4">
        <v>45332</v>
      </c>
      <c r="G320" s="1">
        <v>1</v>
      </c>
      <c r="H320" s="1">
        <v>8</v>
      </c>
      <c r="I320" t="s">
        <v>13</v>
      </c>
      <c r="J320" t="s">
        <v>2143</v>
      </c>
      <c r="K320" t="s">
        <v>28</v>
      </c>
      <c r="L320" s="1" t="str">
        <f t="shared" si="24"/>
        <v>2024</v>
      </c>
      <c r="M320" t="str">
        <f t="shared" si="25"/>
        <v>Feb</v>
      </c>
      <c r="N320" t="str">
        <f t="shared" si="26"/>
        <v>Sat</v>
      </c>
      <c r="O320" s="1">
        <f t="shared" si="27"/>
        <v>7</v>
      </c>
      <c r="P320" s="1">
        <f t="shared" si="28"/>
        <v>8</v>
      </c>
      <c r="Q320" s="1">
        <f>ROUND(G320*H320*VLOOKUP(D320,'Cost Product'!A$1:C$21,3,FALSE),0)</f>
        <v>5</v>
      </c>
      <c r="R320" s="1">
        <f t="shared" si="29"/>
        <v>3</v>
      </c>
    </row>
    <row r="321" spans="1:18" x14ac:dyDescent="0.25">
      <c r="A321" s="1" t="s">
        <v>677</v>
      </c>
      <c r="B321" t="s">
        <v>678</v>
      </c>
      <c r="C321" t="s">
        <v>17</v>
      </c>
      <c r="D321" t="s">
        <v>18</v>
      </c>
      <c r="E321" s="4">
        <v>45424</v>
      </c>
      <c r="F321" s="4">
        <v>45425</v>
      </c>
      <c r="G321" s="1">
        <v>3</v>
      </c>
      <c r="H321" s="1">
        <v>5.5</v>
      </c>
      <c r="I321" t="s">
        <v>13</v>
      </c>
      <c r="J321" t="s">
        <v>2141</v>
      </c>
      <c r="K321" t="s">
        <v>28</v>
      </c>
      <c r="L321" s="1" t="str">
        <f t="shared" si="24"/>
        <v>2024</v>
      </c>
      <c r="M321" t="str">
        <f t="shared" si="25"/>
        <v>May</v>
      </c>
      <c r="N321" t="str">
        <f t="shared" si="26"/>
        <v>Sun</v>
      </c>
      <c r="O321" s="1">
        <f t="shared" si="27"/>
        <v>1</v>
      </c>
      <c r="P321" s="1">
        <f t="shared" si="28"/>
        <v>16.5</v>
      </c>
      <c r="Q321" s="1">
        <f>ROUND(G321*H321*VLOOKUP(D321,'Cost Product'!A$1:C$21,3,FALSE),0)</f>
        <v>10</v>
      </c>
      <c r="R321" s="1">
        <f t="shared" si="29"/>
        <v>6.5</v>
      </c>
    </row>
    <row r="322" spans="1:18" x14ac:dyDescent="0.25">
      <c r="A322" s="1" t="s">
        <v>679</v>
      </c>
      <c r="B322" t="s">
        <v>680</v>
      </c>
      <c r="C322" t="s">
        <v>17</v>
      </c>
      <c r="D322" t="s">
        <v>18</v>
      </c>
      <c r="E322" s="4">
        <v>45514</v>
      </c>
      <c r="F322" s="4">
        <v>45519</v>
      </c>
      <c r="G322" s="1">
        <v>2</v>
      </c>
      <c r="H322" s="1">
        <v>5.5</v>
      </c>
      <c r="I322" t="s">
        <v>13</v>
      </c>
      <c r="J322" t="s">
        <v>2141</v>
      </c>
      <c r="K322" t="s">
        <v>28</v>
      </c>
      <c r="L322" s="1" t="str">
        <f t="shared" si="24"/>
        <v>2024</v>
      </c>
      <c r="M322" t="str">
        <f t="shared" si="25"/>
        <v>Aug</v>
      </c>
      <c r="N322" t="str">
        <f t="shared" si="26"/>
        <v>Sat</v>
      </c>
      <c r="O322" s="1">
        <f t="shared" si="27"/>
        <v>5</v>
      </c>
      <c r="P322" s="1">
        <f t="shared" si="28"/>
        <v>11</v>
      </c>
      <c r="Q322" s="1">
        <f>ROUND(G322*H322*VLOOKUP(D322,'Cost Product'!A$1:C$21,3,FALSE),0)</f>
        <v>7</v>
      </c>
      <c r="R322" s="1">
        <f t="shared" si="29"/>
        <v>4</v>
      </c>
    </row>
    <row r="323" spans="1:18" x14ac:dyDescent="0.25">
      <c r="A323" s="1" t="s">
        <v>681</v>
      </c>
      <c r="B323" t="s">
        <v>682</v>
      </c>
      <c r="C323" t="s">
        <v>11</v>
      </c>
      <c r="D323" t="s">
        <v>12</v>
      </c>
      <c r="E323" s="4">
        <v>45190</v>
      </c>
      <c r="F323" s="4">
        <v>45192</v>
      </c>
      <c r="G323" s="1">
        <v>1</v>
      </c>
      <c r="H323" s="1">
        <v>6.5</v>
      </c>
      <c r="I323" t="s">
        <v>13</v>
      </c>
      <c r="J323" t="s">
        <v>2141</v>
      </c>
      <c r="K323" t="s">
        <v>19</v>
      </c>
      <c r="L323" s="1" t="str">
        <f t="shared" ref="L323:L386" si="30">TEXT(E323, "YYYY")</f>
        <v>2023</v>
      </c>
      <c r="M323" t="str">
        <f t="shared" ref="M323:M386" si="31">TEXT(E323, "MMM")</f>
        <v>Sep</v>
      </c>
      <c r="N323" t="str">
        <f t="shared" ref="N323:N386" si="32">TEXT(E323, "DDD")</f>
        <v>Thu</v>
      </c>
      <c r="O323" s="1">
        <f t="shared" ref="O323:O386" si="33">DATEDIF(E323, F323, "D")</f>
        <v>2</v>
      </c>
      <c r="P323" s="1">
        <f t="shared" ref="P323:P386" si="34">G323*H323</f>
        <v>6.5</v>
      </c>
      <c r="Q323" s="1">
        <f>ROUND(G323*H323*VLOOKUP(D323,'Cost Product'!A$1:C$21,3,FALSE),0)</f>
        <v>4</v>
      </c>
      <c r="R323" s="1">
        <f t="shared" ref="R323:R386" si="35">P323-Q323</f>
        <v>2.5</v>
      </c>
    </row>
    <row r="324" spans="1:18" x14ac:dyDescent="0.25">
      <c r="A324" s="1" t="s">
        <v>683</v>
      </c>
      <c r="B324" t="s">
        <v>684</v>
      </c>
      <c r="C324" t="s">
        <v>17</v>
      </c>
      <c r="D324" t="s">
        <v>18</v>
      </c>
      <c r="E324" s="4">
        <v>45503</v>
      </c>
      <c r="F324" s="4">
        <v>45515</v>
      </c>
      <c r="G324" s="1">
        <v>2</v>
      </c>
      <c r="H324" s="1">
        <v>5.5</v>
      </c>
      <c r="I324" t="s">
        <v>13</v>
      </c>
      <c r="J324" t="s">
        <v>2144</v>
      </c>
      <c r="K324" t="s">
        <v>14</v>
      </c>
      <c r="L324" s="1" t="str">
        <f t="shared" si="30"/>
        <v>2024</v>
      </c>
      <c r="M324" t="str">
        <f t="shared" si="31"/>
        <v>Jul</v>
      </c>
      <c r="N324" t="str">
        <f t="shared" si="32"/>
        <v>Tue</v>
      </c>
      <c r="O324" s="1">
        <f t="shared" si="33"/>
        <v>12</v>
      </c>
      <c r="P324" s="1">
        <f t="shared" si="34"/>
        <v>11</v>
      </c>
      <c r="Q324" s="1">
        <f>ROUND(G324*H324*VLOOKUP(D324,'Cost Product'!A$1:C$21,3,FALSE),0)</f>
        <v>7</v>
      </c>
      <c r="R324" s="1">
        <f t="shared" si="35"/>
        <v>4</v>
      </c>
    </row>
    <row r="325" spans="1:18" x14ac:dyDescent="0.25">
      <c r="A325" s="1" t="s">
        <v>685</v>
      </c>
      <c r="B325" t="s">
        <v>686</v>
      </c>
      <c r="C325" t="s">
        <v>11</v>
      </c>
      <c r="D325" t="s">
        <v>12</v>
      </c>
      <c r="E325" s="4">
        <v>45454</v>
      </c>
      <c r="F325" s="4">
        <v>45455</v>
      </c>
      <c r="G325" s="1">
        <v>4</v>
      </c>
      <c r="H325" s="1">
        <v>6.5</v>
      </c>
      <c r="I325" t="s">
        <v>40</v>
      </c>
      <c r="J325" t="s">
        <v>2145</v>
      </c>
      <c r="K325" t="s">
        <v>14</v>
      </c>
      <c r="L325" s="1" t="str">
        <f t="shared" si="30"/>
        <v>2024</v>
      </c>
      <c r="M325" t="str">
        <f t="shared" si="31"/>
        <v>Jun</v>
      </c>
      <c r="N325" t="str">
        <f t="shared" si="32"/>
        <v>Tue</v>
      </c>
      <c r="O325" s="1">
        <f t="shared" si="33"/>
        <v>1</v>
      </c>
      <c r="P325" s="1">
        <f t="shared" si="34"/>
        <v>26</v>
      </c>
      <c r="Q325" s="1">
        <f>ROUND(G325*H325*VLOOKUP(D325,'Cost Product'!A$1:C$21,3,FALSE),0)</f>
        <v>15</v>
      </c>
      <c r="R325" s="1">
        <f t="shared" si="35"/>
        <v>11</v>
      </c>
    </row>
    <row r="326" spans="1:18" x14ac:dyDescent="0.25">
      <c r="A326" s="1" t="s">
        <v>687</v>
      </c>
      <c r="B326" t="s">
        <v>688</v>
      </c>
      <c r="C326" t="s">
        <v>26</v>
      </c>
      <c r="D326" t="s">
        <v>45</v>
      </c>
      <c r="E326" s="4">
        <v>45435</v>
      </c>
      <c r="F326" s="4">
        <v>45436</v>
      </c>
      <c r="G326" s="1">
        <v>2</v>
      </c>
      <c r="H326" s="1">
        <v>4.5</v>
      </c>
      <c r="I326" t="s">
        <v>13</v>
      </c>
      <c r="J326" t="s">
        <v>2144</v>
      </c>
      <c r="K326" t="s">
        <v>14</v>
      </c>
      <c r="L326" s="1" t="str">
        <f t="shared" si="30"/>
        <v>2024</v>
      </c>
      <c r="M326" t="str">
        <f t="shared" si="31"/>
        <v>May</v>
      </c>
      <c r="N326" t="str">
        <f t="shared" si="32"/>
        <v>Thu</v>
      </c>
      <c r="O326" s="1">
        <f t="shared" si="33"/>
        <v>1</v>
      </c>
      <c r="P326" s="1">
        <f t="shared" si="34"/>
        <v>9</v>
      </c>
      <c r="Q326" s="1">
        <f>ROUND(G326*H326*VLOOKUP(D326,'Cost Product'!A$1:C$21,3,FALSE),0)</f>
        <v>5</v>
      </c>
      <c r="R326" s="1">
        <f t="shared" si="35"/>
        <v>4</v>
      </c>
    </row>
    <row r="327" spans="1:18" x14ac:dyDescent="0.25">
      <c r="A327" s="1" t="s">
        <v>689</v>
      </c>
      <c r="B327" t="s">
        <v>690</v>
      </c>
      <c r="C327" t="s">
        <v>22</v>
      </c>
      <c r="D327" t="s">
        <v>23</v>
      </c>
      <c r="E327" s="4">
        <v>45141</v>
      </c>
      <c r="F327" s="4">
        <v>45145</v>
      </c>
      <c r="G327" s="1">
        <v>5</v>
      </c>
      <c r="H327" s="1">
        <v>10</v>
      </c>
      <c r="I327" t="s">
        <v>13</v>
      </c>
      <c r="J327" t="s">
        <v>2141</v>
      </c>
      <c r="K327" t="s">
        <v>14</v>
      </c>
      <c r="L327" s="1" t="str">
        <f t="shared" si="30"/>
        <v>2023</v>
      </c>
      <c r="M327" t="str">
        <f t="shared" si="31"/>
        <v>Aug</v>
      </c>
      <c r="N327" t="str">
        <f t="shared" si="32"/>
        <v>Thu</v>
      </c>
      <c r="O327" s="1">
        <f t="shared" si="33"/>
        <v>4</v>
      </c>
      <c r="P327" s="1">
        <f t="shared" si="34"/>
        <v>50</v>
      </c>
      <c r="Q327" s="1">
        <f>ROUND(G327*H327*VLOOKUP(D327,'Cost Product'!A$1:C$21,3,FALSE),0)</f>
        <v>33</v>
      </c>
      <c r="R327" s="1">
        <f t="shared" si="35"/>
        <v>17</v>
      </c>
    </row>
    <row r="328" spans="1:18" x14ac:dyDescent="0.25">
      <c r="A328" s="1" t="s">
        <v>691</v>
      </c>
      <c r="B328" t="s">
        <v>692</v>
      </c>
      <c r="C328" t="s">
        <v>17</v>
      </c>
      <c r="D328" t="s">
        <v>79</v>
      </c>
      <c r="E328" s="4">
        <v>45253</v>
      </c>
      <c r="F328" s="4">
        <v>45259</v>
      </c>
      <c r="G328" s="1">
        <v>3</v>
      </c>
      <c r="H328" s="1">
        <v>5</v>
      </c>
      <c r="I328" t="s">
        <v>13</v>
      </c>
      <c r="J328" t="s">
        <v>2143</v>
      </c>
      <c r="K328" t="s">
        <v>14</v>
      </c>
      <c r="L328" s="1" t="str">
        <f t="shared" si="30"/>
        <v>2023</v>
      </c>
      <c r="M328" t="str">
        <f t="shared" si="31"/>
        <v>Nov</v>
      </c>
      <c r="N328" t="str">
        <f t="shared" si="32"/>
        <v>Thu</v>
      </c>
      <c r="O328" s="1">
        <f t="shared" si="33"/>
        <v>6</v>
      </c>
      <c r="P328" s="1">
        <f t="shared" si="34"/>
        <v>15</v>
      </c>
      <c r="Q328" s="1">
        <f>ROUND(G328*H328*VLOOKUP(D328,'Cost Product'!A$1:C$21,3,FALSE),0)</f>
        <v>8</v>
      </c>
      <c r="R328" s="1">
        <f t="shared" si="35"/>
        <v>7</v>
      </c>
    </row>
    <row r="329" spans="1:18" x14ac:dyDescent="0.25">
      <c r="A329" s="1" t="s">
        <v>693</v>
      </c>
      <c r="B329" t="s">
        <v>694</v>
      </c>
      <c r="C329" t="s">
        <v>11</v>
      </c>
      <c r="D329" t="s">
        <v>36</v>
      </c>
      <c r="E329" s="4">
        <v>45549</v>
      </c>
      <c r="F329" s="4">
        <v>45561</v>
      </c>
      <c r="G329" s="1">
        <v>4</v>
      </c>
      <c r="H329" s="1">
        <v>6.25</v>
      </c>
      <c r="I329" t="s">
        <v>13</v>
      </c>
      <c r="J329" t="s">
        <v>2141</v>
      </c>
      <c r="K329" t="s">
        <v>14</v>
      </c>
      <c r="L329" s="1" t="str">
        <f t="shared" si="30"/>
        <v>2024</v>
      </c>
      <c r="M329" t="str">
        <f t="shared" si="31"/>
        <v>Sep</v>
      </c>
      <c r="N329" t="str">
        <f t="shared" si="32"/>
        <v>Sat</v>
      </c>
      <c r="O329" s="1">
        <f t="shared" si="33"/>
        <v>12</v>
      </c>
      <c r="P329" s="1">
        <f t="shared" si="34"/>
        <v>25</v>
      </c>
      <c r="Q329" s="1">
        <f>ROUND(G329*H329*VLOOKUP(D329,'Cost Product'!A$1:C$21,3,FALSE),0)</f>
        <v>14</v>
      </c>
      <c r="R329" s="1">
        <f t="shared" si="35"/>
        <v>11</v>
      </c>
    </row>
    <row r="330" spans="1:18" x14ac:dyDescent="0.25">
      <c r="A330" s="1" t="s">
        <v>695</v>
      </c>
      <c r="B330" t="s">
        <v>696</v>
      </c>
      <c r="C330" t="s">
        <v>11</v>
      </c>
      <c r="D330" t="s">
        <v>39</v>
      </c>
      <c r="E330" s="4">
        <v>45489</v>
      </c>
      <c r="F330" s="4">
        <v>45490</v>
      </c>
      <c r="G330" s="1">
        <v>1</v>
      </c>
      <c r="H330" s="1">
        <v>5.75</v>
      </c>
      <c r="I330" t="s">
        <v>13</v>
      </c>
      <c r="J330" t="s">
        <v>2141</v>
      </c>
      <c r="K330" t="s">
        <v>19</v>
      </c>
      <c r="L330" s="1" t="str">
        <f t="shared" si="30"/>
        <v>2024</v>
      </c>
      <c r="M330" t="str">
        <f t="shared" si="31"/>
        <v>Jul</v>
      </c>
      <c r="N330" t="str">
        <f t="shared" si="32"/>
        <v>Tue</v>
      </c>
      <c r="O330" s="1">
        <f t="shared" si="33"/>
        <v>1</v>
      </c>
      <c r="P330" s="1">
        <f t="shared" si="34"/>
        <v>5.75</v>
      </c>
      <c r="Q330" s="1">
        <f>ROUND(G330*H330*VLOOKUP(D330,'Cost Product'!A$1:C$21,3,FALSE),0)</f>
        <v>3</v>
      </c>
      <c r="R330" s="1">
        <f t="shared" si="35"/>
        <v>2.75</v>
      </c>
    </row>
    <row r="331" spans="1:18" x14ac:dyDescent="0.25">
      <c r="A331" s="1" t="s">
        <v>697</v>
      </c>
      <c r="B331" t="s">
        <v>698</v>
      </c>
      <c r="C331" t="s">
        <v>65</v>
      </c>
      <c r="D331" t="s">
        <v>115</v>
      </c>
      <c r="E331" s="4">
        <v>45142</v>
      </c>
      <c r="F331" s="4">
        <v>45144</v>
      </c>
      <c r="G331" s="1">
        <v>1</v>
      </c>
      <c r="H331" s="1">
        <v>3</v>
      </c>
      <c r="I331" t="s">
        <v>13</v>
      </c>
      <c r="J331" t="s">
        <v>2144</v>
      </c>
      <c r="K331" t="s">
        <v>28</v>
      </c>
      <c r="L331" s="1" t="str">
        <f t="shared" si="30"/>
        <v>2023</v>
      </c>
      <c r="M331" t="str">
        <f t="shared" si="31"/>
        <v>Aug</v>
      </c>
      <c r="N331" t="str">
        <f t="shared" si="32"/>
        <v>Fri</v>
      </c>
      <c r="O331" s="1">
        <f t="shared" si="33"/>
        <v>2</v>
      </c>
      <c r="P331" s="1">
        <f t="shared" si="34"/>
        <v>3</v>
      </c>
      <c r="Q331" s="1">
        <f>ROUND(G331*H331*VLOOKUP(D331,'Cost Product'!A$1:C$21,3,FALSE),0)</f>
        <v>1</v>
      </c>
      <c r="R331" s="1">
        <f t="shared" si="35"/>
        <v>2</v>
      </c>
    </row>
    <row r="332" spans="1:18" x14ac:dyDescent="0.25">
      <c r="A332" s="1" t="s">
        <v>699</v>
      </c>
      <c r="B332" t="s">
        <v>700</v>
      </c>
      <c r="C332" t="s">
        <v>65</v>
      </c>
      <c r="D332" t="s">
        <v>115</v>
      </c>
      <c r="E332" s="4">
        <v>45144</v>
      </c>
      <c r="F332" s="4">
        <v>45149</v>
      </c>
      <c r="G332" s="1">
        <v>1</v>
      </c>
      <c r="H332" s="1">
        <v>3</v>
      </c>
      <c r="I332" t="s">
        <v>40</v>
      </c>
      <c r="J332" t="s">
        <v>2143</v>
      </c>
      <c r="K332" t="s">
        <v>28</v>
      </c>
      <c r="L332" s="1" t="str">
        <f t="shared" si="30"/>
        <v>2023</v>
      </c>
      <c r="M332" t="str">
        <f t="shared" si="31"/>
        <v>Aug</v>
      </c>
      <c r="N332" t="str">
        <f t="shared" si="32"/>
        <v>Sun</v>
      </c>
      <c r="O332" s="1">
        <f t="shared" si="33"/>
        <v>5</v>
      </c>
      <c r="P332" s="1">
        <f t="shared" si="34"/>
        <v>3</v>
      </c>
      <c r="Q332" s="1">
        <f>ROUND(G332*H332*VLOOKUP(D332,'Cost Product'!A$1:C$21,3,FALSE),0)</f>
        <v>1</v>
      </c>
      <c r="R332" s="1">
        <f t="shared" si="35"/>
        <v>2</v>
      </c>
    </row>
    <row r="333" spans="1:18" x14ac:dyDescent="0.25">
      <c r="A333" s="1" t="s">
        <v>701</v>
      </c>
      <c r="B333" t="s">
        <v>702</v>
      </c>
      <c r="C333" t="s">
        <v>65</v>
      </c>
      <c r="D333" t="s">
        <v>66</v>
      </c>
      <c r="E333" s="4">
        <v>45390</v>
      </c>
      <c r="F333" s="4">
        <v>45391</v>
      </c>
      <c r="G333" s="1">
        <v>2</v>
      </c>
      <c r="H333" s="1">
        <v>3.5</v>
      </c>
      <c r="I333" t="s">
        <v>13</v>
      </c>
      <c r="J333" t="s">
        <v>2144</v>
      </c>
      <c r="K333" t="s">
        <v>14</v>
      </c>
      <c r="L333" s="1" t="str">
        <f t="shared" si="30"/>
        <v>2024</v>
      </c>
      <c r="M333" t="str">
        <f t="shared" si="31"/>
        <v>Apr</v>
      </c>
      <c r="N333" t="str">
        <f t="shared" si="32"/>
        <v>Mon</v>
      </c>
      <c r="O333" s="1">
        <f t="shared" si="33"/>
        <v>1</v>
      </c>
      <c r="P333" s="1">
        <f t="shared" si="34"/>
        <v>7</v>
      </c>
      <c r="Q333" s="1">
        <f>ROUND(G333*H333*VLOOKUP(D333,'Cost Product'!A$1:C$21,3,FALSE),0)</f>
        <v>3</v>
      </c>
      <c r="R333" s="1">
        <f t="shared" si="35"/>
        <v>4</v>
      </c>
    </row>
    <row r="334" spans="1:18" x14ac:dyDescent="0.25">
      <c r="A334" s="1" t="s">
        <v>703</v>
      </c>
      <c r="B334" t="s">
        <v>704</v>
      </c>
      <c r="C334" t="s">
        <v>65</v>
      </c>
      <c r="D334" t="s">
        <v>115</v>
      </c>
      <c r="E334" s="4">
        <v>45329</v>
      </c>
      <c r="F334" s="4">
        <v>45331</v>
      </c>
      <c r="G334" s="1">
        <v>3</v>
      </c>
      <c r="H334" s="1">
        <v>3</v>
      </c>
      <c r="I334" t="s">
        <v>13</v>
      </c>
      <c r="J334" t="s">
        <v>2142</v>
      </c>
      <c r="K334" t="s">
        <v>28</v>
      </c>
      <c r="L334" s="1" t="str">
        <f t="shared" si="30"/>
        <v>2024</v>
      </c>
      <c r="M334" t="str">
        <f t="shared" si="31"/>
        <v>Feb</v>
      </c>
      <c r="N334" t="str">
        <f t="shared" si="32"/>
        <v>Wed</v>
      </c>
      <c r="O334" s="1">
        <f t="shared" si="33"/>
        <v>2</v>
      </c>
      <c r="P334" s="1">
        <f t="shared" si="34"/>
        <v>9</v>
      </c>
      <c r="Q334" s="1">
        <f>ROUND(G334*H334*VLOOKUP(D334,'Cost Product'!A$1:C$21,3,FALSE),0)</f>
        <v>4</v>
      </c>
      <c r="R334" s="1">
        <f t="shared" si="35"/>
        <v>5</v>
      </c>
    </row>
    <row r="335" spans="1:18" x14ac:dyDescent="0.25">
      <c r="A335" s="1" t="s">
        <v>705</v>
      </c>
      <c r="B335" t="s">
        <v>706</v>
      </c>
      <c r="C335" t="s">
        <v>11</v>
      </c>
      <c r="D335" t="s">
        <v>31</v>
      </c>
      <c r="E335" s="4">
        <v>45130</v>
      </c>
      <c r="F335" s="4">
        <v>45135</v>
      </c>
      <c r="G335" s="1">
        <v>2</v>
      </c>
      <c r="H335" s="1">
        <v>5.5</v>
      </c>
      <c r="I335" t="s">
        <v>13</v>
      </c>
      <c r="J335" t="s">
        <v>2143</v>
      </c>
      <c r="K335" t="s">
        <v>19</v>
      </c>
      <c r="L335" s="1" t="str">
        <f t="shared" si="30"/>
        <v>2023</v>
      </c>
      <c r="M335" t="str">
        <f t="shared" si="31"/>
        <v>Jul</v>
      </c>
      <c r="N335" t="str">
        <f t="shared" si="32"/>
        <v>Sun</v>
      </c>
      <c r="O335" s="1">
        <f t="shared" si="33"/>
        <v>5</v>
      </c>
      <c r="P335" s="1">
        <f t="shared" si="34"/>
        <v>11</v>
      </c>
      <c r="Q335" s="1">
        <f>ROUND(G335*H335*VLOOKUP(D335,'Cost Product'!A$1:C$21,3,FALSE),0)</f>
        <v>6</v>
      </c>
      <c r="R335" s="1">
        <f t="shared" si="35"/>
        <v>5</v>
      </c>
    </row>
    <row r="336" spans="1:18" x14ac:dyDescent="0.25">
      <c r="A336" s="1" t="s">
        <v>707</v>
      </c>
      <c r="B336" t="s">
        <v>708</v>
      </c>
      <c r="C336" t="s">
        <v>22</v>
      </c>
      <c r="D336" t="s">
        <v>62</v>
      </c>
      <c r="E336" s="4">
        <v>45560</v>
      </c>
      <c r="F336" s="4">
        <v>45562</v>
      </c>
      <c r="G336" s="1">
        <v>2</v>
      </c>
      <c r="H336" s="1">
        <v>8</v>
      </c>
      <c r="I336" t="s">
        <v>13</v>
      </c>
      <c r="J336" t="s">
        <v>2143</v>
      </c>
      <c r="K336" t="s">
        <v>19</v>
      </c>
      <c r="L336" s="1" t="str">
        <f t="shared" si="30"/>
        <v>2024</v>
      </c>
      <c r="M336" t="str">
        <f t="shared" si="31"/>
        <v>Sep</v>
      </c>
      <c r="N336" t="str">
        <f t="shared" si="32"/>
        <v>Wed</v>
      </c>
      <c r="O336" s="1">
        <f t="shared" si="33"/>
        <v>2</v>
      </c>
      <c r="P336" s="1">
        <f t="shared" si="34"/>
        <v>16</v>
      </c>
      <c r="Q336" s="1">
        <f>ROUND(G336*H336*VLOOKUP(D336,'Cost Product'!A$1:C$21,3,FALSE),0)</f>
        <v>9</v>
      </c>
      <c r="R336" s="1">
        <f t="shared" si="35"/>
        <v>7</v>
      </c>
    </row>
    <row r="337" spans="1:18" x14ac:dyDescent="0.25">
      <c r="A337" s="1" t="s">
        <v>709</v>
      </c>
      <c r="B337" t="s">
        <v>710</v>
      </c>
      <c r="C337" t="s">
        <v>11</v>
      </c>
      <c r="D337" t="s">
        <v>39</v>
      </c>
      <c r="E337" s="4">
        <v>45382</v>
      </c>
      <c r="F337" s="4">
        <v>45383</v>
      </c>
      <c r="G337" s="1">
        <v>1</v>
      </c>
      <c r="H337" s="1">
        <v>5.75</v>
      </c>
      <c r="I337" t="s">
        <v>13</v>
      </c>
      <c r="J337" t="s">
        <v>2145</v>
      </c>
      <c r="K337" t="s">
        <v>28</v>
      </c>
      <c r="L337" s="1" t="str">
        <f t="shared" si="30"/>
        <v>2024</v>
      </c>
      <c r="M337" t="str">
        <f t="shared" si="31"/>
        <v>Mar</v>
      </c>
      <c r="N337" t="str">
        <f t="shared" si="32"/>
        <v>Sun</v>
      </c>
      <c r="O337" s="1">
        <f t="shared" si="33"/>
        <v>1</v>
      </c>
      <c r="P337" s="1">
        <f t="shared" si="34"/>
        <v>5.75</v>
      </c>
      <c r="Q337" s="1">
        <f>ROUND(G337*H337*VLOOKUP(D337,'Cost Product'!A$1:C$21,3,FALSE),0)</f>
        <v>3</v>
      </c>
      <c r="R337" s="1">
        <f t="shared" si="35"/>
        <v>2.75</v>
      </c>
    </row>
    <row r="338" spans="1:18" x14ac:dyDescent="0.25">
      <c r="A338" s="1" t="s">
        <v>711</v>
      </c>
      <c r="B338" t="s">
        <v>712</v>
      </c>
      <c r="C338" t="s">
        <v>11</v>
      </c>
      <c r="D338" t="s">
        <v>39</v>
      </c>
      <c r="E338" s="4">
        <v>45266</v>
      </c>
      <c r="F338" s="4">
        <v>45269</v>
      </c>
      <c r="G338" s="1">
        <v>2</v>
      </c>
      <c r="H338" s="1">
        <v>5.75</v>
      </c>
      <c r="I338" t="s">
        <v>13</v>
      </c>
      <c r="J338" t="s">
        <v>2142</v>
      </c>
      <c r="K338" t="s">
        <v>14</v>
      </c>
      <c r="L338" s="1" t="str">
        <f t="shared" si="30"/>
        <v>2023</v>
      </c>
      <c r="M338" t="str">
        <f t="shared" si="31"/>
        <v>Dec</v>
      </c>
      <c r="N338" t="str">
        <f t="shared" si="32"/>
        <v>Wed</v>
      </c>
      <c r="O338" s="1">
        <f t="shared" si="33"/>
        <v>3</v>
      </c>
      <c r="P338" s="1">
        <f t="shared" si="34"/>
        <v>11.5</v>
      </c>
      <c r="Q338" s="1">
        <f>ROUND(G338*H338*VLOOKUP(D338,'Cost Product'!A$1:C$21,3,FALSE),0)</f>
        <v>6</v>
      </c>
      <c r="R338" s="1">
        <f t="shared" si="35"/>
        <v>5.5</v>
      </c>
    </row>
    <row r="339" spans="1:18" x14ac:dyDescent="0.25">
      <c r="A339" s="1" t="s">
        <v>713</v>
      </c>
      <c r="B339" t="s">
        <v>714</v>
      </c>
      <c r="C339" t="s">
        <v>26</v>
      </c>
      <c r="D339" t="s">
        <v>45</v>
      </c>
      <c r="E339" s="4">
        <v>45557</v>
      </c>
      <c r="F339" s="4">
        <v>45565</v>
      </c>
      <c r="G339" s="1">
        <v>3</v>
      </c>
      <c r="H339" s="1">
        <v>4.5</v>
      </c>
      <c r="I339" t="s">
        <v>13</v>
      </c>
      <c r="J339" t="s">
        <v>2142</v>
      </c>
      <c r="K339" t="s">
        <v>28</v>
      </c>
      <c r="L339" s="1" t="str">
        <f t="shared" si="30"/>
        <v>2024</v>
      </c>
      <c r="M339" t="str">
        <f t="shared" si="31"/>
        <v>Sep</v>
      </c>
      <c r="N339" t="str">
        <f t="shared" si="32"/>
        <v>Sun</v>
      </c>
      <c r="O339" s="1">
        <f t="shared" si="33"/>
        <v>8</v>
      </c>
      <c r="P339" s="1">
        <f t="shared" si="34"/>
        <v>13.5</v>
      </c>
      <c r="Q339" s="1">
        <f>ROUND(G339*H339*VLOOKUP(D339,'Cost Product'!A$1:C$21,3,FALSE),0)</f>
        <v>7</v>
      </c>
      <c r="R339" s="1">
        <f t="shared" si="35"/>
        <v>6.5</v>
      </c>
    </row>
    <row r="340" spans="1:18" x14ac:dyDescent="0.25">
      <c r="A340" s="1" t="s">
        <v>715</v>
      </c>
      <c r="B340" t="s">
        <v>716</v>
      </c>
      <c r="C340" t="s">
        <v>11</v>
      </c>
      <c r="D340" t="s">
        <v>36</v>
      </c>
      <c r="E340" s="4">
        <v>45522</v>
      </c>
      <c r="F340" s="4">
        <v>45529</v>
      </c>
      <c r="G340" s="1">
        <v>5</v>
      </c>
      <c r="H340" s="1">
        <v>6.25</v>
      </c>
      <c r="I340" t="s">
        <v>40</v>
      </c>
      <c r="J340" t="s">
        <v>2141</v>
      </c>
      <c r="K340" t="s">
        <v>14</v>
      </c>
      <c r="L340" s="1" t="str">
        <f t="shared" si="30"/>
        <v>2024</v>
      </c>
      <c r="M340" t="str">
        <f t="shared" si="31"/>
        <v>Aug</v>
      </c>
      <c r="N340" t="str">
        <f t="shared" si="32"/>
        <v>Sun</v>
      </c>
      <c r="O340" s="1">
        <f t="shared" si="33"/>
        <v>7</v>
      </c>
      <c r="P340" s="1">
        <f t="shared" si="34"/>
        <v>31.25</v>
      </c>
      <c r="Q340" s="1">
        <f>ROUND(G340*H340*VLOOKUP(D340,'Cost Product'!A$1:C$21,3,FALSE),0)</f>
        <v>17</v>
      </c>
      <c r="R340" s="1">
        <f t="shared" si="35"/>
        <v>14.25</v>
      </c>
    </row>
    <row r="341" spans="1:18" x14ac:dyDescent="0.25">
      <c r="A341" s="1" t="s">
        <v>717</v>
      </c>
      <c r="B341" t="s">
        <v>718</v>
      </c>
      <c r="C341" t="s">
        <v>22</v>
      </c>
      <c r="D341" t="s">
        <v>62</v>
      </c>
      <c r="E341" s="4">
        <v>45566</v>
      </c>
      <c r="F341" s="4">
        <v>45570</v>
      </c>
      <c r="G341" s="1">
        <v>4</v>
      </c>
      <c r="H341" s="1">
        <v>8</v>
      </c>
      <c r="I341" t="s">
        <v>13</v>
      </c>
      <c r="J341" t="s">
        <v>2143</v>
      </c>
      <c r="K341" t="s">
        <v>28</v>
      </c>
      <c r="L341" s="1" t="str">
        <f t="shared" si="30"/>
        <v>2024</v>
      </c>
      <c r="M341" t="str">
        <f t="shared" si="31"/>
        <v>Oct</v>
      </c>
      <c r="N341" t="str">
        <f t="shared" si="32"/>
        <v>Tue</v>
      </c>
      <c r="O341" s="1">
        <f t="shared" si="33"/>
        <v>4</v>
      </c>
      <c r="P341" s="1">
        <f t="shared" si="34"/>
        <v>32</v>
      </c>
      <c r="Q341" s="1">
        <f>ROUND(G341*H341*VLOOKUP(D341,'Cost Product'!A$1:C$21,3,FALSE),0)</f>
        <v>19</v>
      </c>
      <c r="R341" s="1">
        <f t="shared" si="35"/>
        <v>13</v>
      </c>
    </row>
    <row r="342" spans="1:18" x14ac:dyDescent="0.25">
      <c r="A342" s="1" t="s">
        <v>719</v>
      </c>
      <c r="B342" t="s">
        <v>720</v>
      </c>
      <c r="C342" t="s">
        <v>22</v>
      </c>
      <c r="D342" t="s">
        <v>62</v>
      </c>
      <c r="E342" s="4">
        <v>45326</v>
      </c>
      <c r="F342" s="4">
        <v>45332</v>
      </c>
      <c r="G342" s="1">
        <v>2</v>
      </c>
      <c r="H342" s="1">
        <v>8</v>
      </c>
      <c r="I342" t="s">
        <v>13</v>
      </c>
      <c r="J342" t="s">
        <v>2141</v>
      </c>
      <c r="K342" t="s">
        <v>28</v>
      </c>
      <c r="L342" s="1" t="str">
        <f t="shared" si="30"/>
        <v>2024</v>
      </c>
      <c r="M342" t="str">
        <f t="shared" si="31"/>
        <v>Feb</v>
      </c>
      <c r="N342" t="str">
        <f t="shared" si="32"/>
        <v>Sun</v>
      </c>
      <c r="O342" s="1">
        <f t="shared" si="33"/>
        <v>6</v>
      </c>
      <c r="P342" s="1">
        <f t="shared" si="34"/>
        <v>16</v>
      </c>
      <c r="Q342" s="1">
        <f>ROUND(G342*H342*VLOOKUP(D342,'Cost Product'!A$1:C$21,3,FALSE),0)</f>
        <v>9</v>
      </c>
      <c r="R342" s="1">
        <f t="shared" si="35"/>
        <v>7</v>
      </c>
    </row>
    <row r="343" spans="1:18" x14ac:dyDescent="0.25">
      <c r="A343" s="1" t="s">
        <v>721</v>
      </c>
      <c r="B343" t="s">
        <v>722</v>
      </c>
      <c r="C343" t="s">
        <v>17</v>
      </c>
      <c r="D343" t="s">
        <v>79</v>
      </c>
      <c r="E343" s="4">
        <v>45222</v>
      </c>
      <c r="F343" s="4">
        <v>45229</v>
      </c>
      <c r="G343" s="1">
        <v>3</v>
      </c>
      <c r="H343" s="1">
        <v>5</v>
      </c>
      <c r="I343" t="s">
        <v>13</v>
      </c>
      <c r="J343" t="s">
        <v>2141</v>
      </c>
      <c r="K343" t="s">
        <v>28</v>
      </c>
      <c r="L343" s="1" t="str">
        <f t="shared" si="30"/>
        <v>2023</v>
      </c>
      <c r="M343" t="str">
        <f t="shared" si="31"/>
        <v>Oct</v>
      </c>
      <c r="N343" t="str">
        <f t="shared" si="32"/>
        <v>Mon</v>
      </c>
      <c r="O343" s="1">
        <f t="shared" si="33"/>
        <v>7</v>
      </c>
      <c r="P343" s="1">
        <f t="shared" si="34"/>
        <v>15</v>
      </c>
      <c r="Q343" s="1">
        <f>ROUND(G343*H343*VLOOKUP(D343,'Cost Product'!A$1:C$21,3,FALSE),0)</f>
        <v>8</v>
      </c>
      <c r="R343" s="1">
        <f t="shared" si="35"/>
        <v>7</v>
      </c>
    </row>
    <row r="344" spans="1:18" x14ac:dyDescent="0.25">
      <c r="A344" s="1" t="s">
        <v>723</v>
      </c>
      <c r="B344" t="s">
        <v>724</v>
      </c>
      <c r="C344" t="s">
        <v>26</v>
      </c>
      <c r="D344" t="s">
        <v>45</v>
      </c>
      <c r="E344" s="4">
        <v>45354</v>
      </c>
      <c r="F344" s="4">
        <v>45357</v>
      </c>
      <c r="G344" s="1">
        <v>3</v>
      </c>
      <c r="H344" s="1">
        <v>4.5</v>
      </c>
      <c r="I344" t="s">
        <v>40</v>
      </c>
      <c r="J344" t="s">
        <v>2142</v>
      </c>
      <c r="K344" t="s">
        <v>19</v>
      </c>
      <c r="L344" s="1" t="str">
        <f t="shared" si="30"/>
        <v>2024</v>
      </c>
      <c r="M344" t="str">
        <f t="shared" si="31"/>
        <v>Mar</v>
      </c>
      <c r="N344" t="str">
        <f t="shared" si="32"/>
        <v>Sun</v>
      </c>
      <c r="O344" s="1">
        <f t="shared" si="33"/>
        <v>3</v>
      </c>
      <c r="P344" s="1">
        <f t="shared" si="34"/>
        <v>13.5</v>
      </c>
      <c r="Q344" s="1">
        <f>ROUND(G344*H344*VLOOKUP(D344,'Cost Product'!A$1:C$21,3,FALSE),0)</f>
        <v>7</v>
      </c>
      <c r="R344" s="1">
        <f t="shared" si="35"/>
        <v>6.5</v>
      </c>
    </row>
    <row r="345" spans="1:18" x14ac:dyDescent="0.25">
      <c r="A345" s="1" t="s">
        <v>725</v>
      </c>
      <c r="B345" t="s">
        <v>726</v>
      </c>
      <c r="C345" t="s">
        <v>22</v>
      </c>
      <c r="D345" t="s">
        <v>23</v>
      </c>
      <c r="E345" s="4">
        <v>45441</v>
      </c>
      <c r="F345" s="4">
        <v>45444</v>
      </c>
      <c r="G345" s="1">
        <v>1</v>
      </c>
      <c r="H345" s="1">
        <v>10</v>
      </c>
      <c r="I345" t="s">
        <v>13</v>
      </c>
      <c r="J345" t="s">
        <v>2145</v>
      </c>
      <c r="K345" t="s">
        <v>28</v>
      </c>
      <c r="L345" s="1" t="str">
        <f t="shared" si="30"/>
        <v>2024</v>
      </c>
      <c r="M345" t="str">
        <f t="shared" si="31"/>
        <v>May</v>
      </c>
      <c r="N345" t="str">
        <f t="shared" si="32"/>
        <v>Wed</v>
      </c>
      <c r="O345" s="1">
        <f t="shared" si="33"/>
        <v>3</v>
      </c>
      <c r="P345" s="1">
        <f t="shared" si="34"/>
        <v>10</v>
      </c>
      <c r="Q345" s="1">
        <f>ROUND(G345*H345*VLOOKUP(D345,'Cost Product'!A$1:C$21,3,FALSE),0)</f>
        <v>7</v>
      </c>
      <c r="R345" s="1">
        <f t="shared" si="35"/>
        <v>3</v>
      </c>
    </row>
    <row r="346" spans="1:18" x14ac:dyDescent="0.25">
      <c r="A346" s="1" t="s">
        <v>727</v>
      </c>
      <c r="B346" t="s">
        <v>728</v>
      </c>
      <c r="C346" t="s">
        <v>11</v>
      </c>
      <c r="D346" t="s">
        <v>31</v>
      </c>
      <c r="E346" s="4">
        <v>45408</v>
      </c>
      <c r="F346" s="4">
        <v>45410</v>
      </c>
      <c r="G346" s="1">
        <v>5</v>
      </c>
      <c r="H346" s="1">
        <v>5.5</v>
      </c>
      <c r="I346" t="s">
        <v>13</v>
      </c>
      <c r="J346" t="s">
        <v>2143</v>
      </c>
      <c r="K346" t="s">
        <v>14</v>
      </c>
      <c r="L346" s="1" t="str">
        <f t="shared" si="30"/>
        <v>2024</v>
      </c>
      <c r="M346" t="str">
        <f t="shared" si="31"/>
        <v>Apr</v>
      </c>
      <c r="N346" t="str">
        <f t="shared" si="32"/>
        <v>Fri</v>
      </c>
      <c r="O346" s="1">
        <f t="shared" si="33"/>
        <v>2</v>
      </c>
      <c r="P346" s="1">
        <f t="shared" si="34"/>
        <v>27.5</v>
      </c>
      <c r="Q346" s="1">
        <f>ROUND(G346*H346*VLOOKUP(D346,'Cost Product'!A$1:C$21,3,FALSE),0)</f>
        <v>14</v>
      </c>
      <c r="R346" s="1">
        <f t="shared" si="35"/>
        <v>13.5</v>
      </c>
    </row>
    <row r="347" spans="1:18" x14ac:dyDescent="0.25">
      <c r="A347" s="1" t="s">
        <v>729</v>
      </c>
      <c r="B347" t="s">
        <v>730</v>
      </c>
      <c r="C347" t="s">
        <v>17</v>
      </c>
      <c r="D347" t="s">
        <v>53</v>
      </c>
      <c r="E347" s="4">
        <v>45305</v>
      </c>
      <c r="F347" s="4">
        <v>45306</v>
      </c>
      <c r="G347" s="1">
        <v>2</v>
      </c>
      <c r="H347" s="1">
        <v>4.75</v>
      </c>
      <c r="I347" t="s">
        <v>13</v>
      </c>
      <c r="J347" t="s">
        <v>2141</v>
      </c>
      <c r="K347" t="s">
        <v>14</v>
      </c>
      <c r="L347" s="1" t="str">
        <f t="shared" si="30"/>
        <v>2024</v>
      </c>
      <c r="M347" t="str">
        <f t="shared" si="31"/>
        <v>Jan</v>
      </c>
      <c r="N347" t="str">
        <f t="shared" si="32"/>
        <v>Sun</v>
      </c>
      <c r="O347" s="1">
        <f t="shared" si="33"/>
        <v>1</v>
      </c>
      <c r="P347" s="1">
        <f t="shared" si="34"/>
        <v>9.5</v>
      </c>
      <c r="Q347" s="1">
        <f>ROUND(G347*H347*VLOOKUP(D347,'Cost Product'!A$1:C$21,3,FALSE),0)</f>
        <v>5</v>
      </c>
      <c r="R347" s="1">
        <f t="shared" si="35"/>
        <v>4.5</v>
      </c>
    </row>
    <row r="348" spans="1:18" x14ac:dyDescent="0.25">
      <c r="A348" s="1" t="s">
        <v>731</v>
      </c>
      <c r="B348" t="s">
        <v>732</v>
      </c>
      <c r="C348" t="s">
        <v>65</v>
      </c>
      <c r="D348" t="s">
        <v>120</v>
      </c>
      <c r="E348" s="4">
        <v>45196</v>
      </c>
      <c r="F348" s="4">
        <v>45199</v>
      </c>
      <c r="G348" s="1">
        <v>4</v>
      </c>
      <c r="H348" s="1">
        <v>3.75</v>
      </c>
      <c r="I348" t="s">
        <v>13</v>
      </c>
      <c r="J348" t="s">
        <v>2142</v>
      </c>
      <c r="K348" t="s">
        <v>19</v>
      </c>
      <c r="L348" s="1" t="str">
        <f t="shared" si="30"/>
        <v>2023</v>
      </c>
      <c r="M348" t="str">
        <f t="shared" si="31"/>
        <v>Sep</v>
      </c>
      <c r="N348" t="str">
        <f t="shared" si="32"/>
        <v>Wed</v>
      </c>
      <c r="O348" s="1">
        <f t="shared" si="33"/>
        <v>3</v>
      </c>
      <c r="P348" s="1">
        <f t="shared" si="34"/>
        <v>15</v>
      </c>
      <c r="Q348" s="1">
        <f>ROUND(G348*H348*VLOOKUP(D348,'Cost Product'!A$1:C$21,3,FALSE),0)</f>
        <v>8</v>
      </c>
      <c r="R348" s="1">
        <f t="shared" si="35"/>
        <v>7</v>
      </c>
    </row>
    <row r="349" spans="1:18" x14ac:dyDescent="0.25">
      <c r="A349" s="1" t="s">
        <v>733</v>
      </c>
      <c r="B349" t="s">
        <v>734</v>
      </c>
      <c r="C349" t="s">
        <v>65</v>
      </c>
      <c r="D349" t="s">
        <v>115</v>
      </c>
      <c r="E349" s="4">
        <v>45492</v>
      </c>
      <c r="F349" s="4">
        <v>45493</v>
      </c>
      <c r="G349" s="1">
        <v>5</v>
      </c>
      <c r="H349" s="1">
        <v>3</v>
      </c>
      <c r="I349" t="s">
        <v>13</v>
      </c>
      <c r="J349" t="s">
        <v>2143</v>
      </c>
      <c r="K349" t="s">
        <v>28</v>
      </c>
      <c r="L349" s="1" t="str">
        <f t="shared" si="30"/>
        <v>2024</v>
      </c>
      <c r="M349" t="str">
        <f t="shared" si="31"/>
        <v>Jul</v>
      </c>
      <c r="N349" t="str">
        <f t="shared" si="32"/>
        <v>Fri</v>
      </c>
      <c r="O349" s="1">
        <f t="shared" si="33"/>
        <v>1</v>
      </c>
      <c r="P349" s="1">
        <f t="shared" si="34"/>
        <v>15</v>
      </c>
      <c r="Q349" s="1">
        <f>ROUND(G349*H349*VLOOKUP(D349,'Cost Product'!A$1:C$21,3,FALSE),0)</f>
        <v>7</v>
      </c>
      <c r="R349" s="1">
        <f t="shared" si="35"/>
        <v>8</v>
      </c>
    </row>
    <row r="350" spans="1:18" x14ac:dyDescent="0.25">
      <c r="A350" s="1" t="s">
        <v>735</v>
      </c>
      <c r="B350" t="s">
        <v>736</v>
      </c>
      <c r="C350" t="s">
        <v>22</v>
      </c>
      <c r="D350" t="s">
        <v>23</v>
      </c>
      <c r="E350" s="4">
        <v>45482</v>
      </c>
      <c r="F350" s="4">
        <v>45484</v>
      </c>
      <c r="G350" s="1">
        <v>2</v>
      </c>
      <c r="H350" s="1">
        <v>10</v>
      </c>
      <c r="I350" t="s">
        <v>13</v>
      </c>
      <c r="J350" t="s">
        <v>2142</v>
      </c>
      <c r="K350" t="s">
        <v>19</v>
      </c>
      <c r="L350" s="1" t="str">
        <f t="shared" si="30"/>
        <v>2024</v>
      </c>
      <c r="M350" t="str">
        <f t="shared" si="31"/>
        <v>Jul</v>
      </c>
      <c r="N350" t="str">
        <f t="shared" si="32"/>
        <v>Tue</v>
      </c>
      <c r="O350" s="1">
        <f t="shared" si="33"/>
        <v>2</v>
      </c>
      <c r="P350" s="1">
        <f t="shared" si="34"/>
        <v>20</v>
      </c>
      <c r="Q350" s="1">
        <f>ROUND(G350*H350*VLOOKUP(D350,'Cost Product'!A$1:C$21,3,FALSE),0)</f>
        <v>13</v>
      </c>
      <c r="R350" s="1">
        <f t="shared" si="35"/>
        <v>7</v>
      </c>
    </row>
    <row r="351" spans="1:18" x14ac:dyDescent="0.25">
      <c r="A351" s="1" t="s">
        <v>737</v>
      </c>
      <c r="B351" t="s">
        <v>738</v>
      </c>
      <c r="C351" t="s">
        <v>17</v>
      </c>
      <c r="D351" t="s">
        <v>79</v>
      </c>
      <c r="E351" s="4">
        <v>45183</v>
      </c>
      <c r="F351" s="4">
        <v>45190</v>
      </c>
      <c r="G351" s="1">
        <v>4</v>
      </c>
      <c r="H351" s="1">
        <v>5</v>
      </c>
      <c r="I351" t="s">
        <v>13</v>
      </c>
      <c r="J351" t="s">
        <v>2144</v>
      </c>
      <c r="K351" t="s">
        <v>28</v>
      </c>
      <c r="L351" s="1" t="str">
        <f t="shared" si="30"/>
        <v>2023</v>
      </c>
      <c r="M351" t="str">
        <f t="shared" si="31"/>
        <v>Sep</v>
      </c>
      <c r="N351" t="str">
        <f t="shared" si="32"/>
        <v>Thu</v>
      </c>
      <c r="O351" s="1">
        <f t="shared" si="33"/>
        <v>7</v>
      </c>
      <c r="P351" s="1">
        <f t="shared" si="34"/>
        <v>20</v>
      </c>
      <c r="Q351" s="1">
        <f>ROUND(G351*H351*VLOOKUP(D351,'Cost Product'!A$1:C$21,3,FALSE),0)</f>
        <v>11</v>
      </c>
      <c r="R351" s="1">
        <f t="shared" si="35"/>
        <v>9</v>
      </c>
    </row>
    <row r="352" spans="1:18" x14ac:dyDescent="0.25">
      <c r="A352" s="1" t="s">
        <v>739</v>
      </c>
      <c r="B352" t="s">
        <v>740</v>
      </c>
      <c r="C352" t="s">
        <v>22</v>
      </c>
      <c r="D352" t="s">
        <v>62</v>
      </c>
      <c r="E352" s="4">
        <v>45436</v>
      </c>
      <c r="F352" s="4">
        <v>45439</v>
      </c>
      <c r="G352" s="1">
        <v>2</v>
      </c>
      <c r="H352" s="1">
        <v>8</v>
      </c>
      <c r="I352" t="s">
        <v>40</v>
      </c>
      <c r="J352" t="s">
        <v>2145</v>
      </c>
      <c r="K352" t="s">
        <v>14</v>
      </c>
      <c r="L352" s="1" t="str">
        <f t="shared" si="30"/>
        <v>2024</v>
      </c>
      <c r="M352" t="str">
        <f t="shared" si="31"/>
        <v>May</v>
      </c>
      <c r="N352" t="str">
        <f t="shared" si="32"/>
        <v>Fri</v>
      </c>
      <c r="O352" s="1">
        <f t="shared" si="33"/>
        <v>3</v>
      </c>
      <c r="P352" s="1">
        <f t="shared" si="34"/>
        <v>16</v>
      </c>
      <c r="Q352" s="1">
        <f>ROUND(G352*H352*VLOOKUP(D352,'Cost Product'!A$1:C$21,3,FALSE),0)</f>
        <v>9</v>
      </c>
      <c r="R352" s="1">
        <f t="shared" si="35"/>
        <v>7</v>
      </c>
    </row>
    <row r="353" spans="1:18" x14ac:dyDescent="0.25">
      <c r="A353" s="1" t="s">
        <v>741</v>
      </c>
      <c r="B353" t="s">
        <v>742</v>
      </c>
      <c r="C353" t="s">
        <v>11</v>
      </c>
      <c r="D353" t="s">
        <v>31</v>
      </c>
      <c r="E353" s="4">
        <v>45536</v>
      </c>
      <c r="F353" s="4">
        <v>45537</v>
      </c>
      <c r="G353" s="1">
        <v>3</v>
      </c>
      <c r="H353" s="1">
        <v>5.5</v>
      </c>
      <c r="I353" t="s">
        <v>13</v>
      </c>
      <c r="J353" t="s">
        <v>2141</v>
      </c>
      <c r="K353" t="s">
        <v>19</v>
      </c>
      <c r="L353" s="1" t="str">
        <f t="shared" si="30"/>
        <v>2024</v>
      </c>
      <c r="M353" t="str">
        <f t="shared" si="31"/>
        <v>Sep</v>
      </c>
      <c r="N353" t="str">
        <f t="shared" si="32"/>
        <v>Sun</v>
      </c>
      <c r="O353" s="1">
        <f t="shared" si="33"/>
        <v>1</v>
      </c>
      <c r="P353" s="1">
        <f t="shared" si="34"/>
        <v>16.5</v>
      </c>
      <c r="Q353" s="1">
        <f>ROUND(G353*H353*VLOOKUP(D353,'Cost Product'!A$1:C$21,3,FALSE),0)</f>
        <v>9</v>
      </c>
      <c r="R353" s="1">
        <f t="shared" si="35"/>
        <v>7.5</v>
      </c>
    </row>
    <row r="354" spans="1:18" x14ac:dyDescent="0.25">
      <c r="A354" s="1" t="s">
        <v>743</v>
      </c>
      <c r="B354" t="s">
        <v>744</v>
      </c>
      <c r="C354" t="s">
        <v>11</v>
      </c>
      <c r="D354" t="s">
        <v>39</v>
      </c>
      <c r="E354" s="4">
        <v>45249</v>
      </c>
      <c r="F354" s="4">
        <v>45251</v>
      </c>
      <c r="G354" s="1">
        <v>3</v>
      </c>
      <c r="H354" s="1">
        <v>5.75</v>
      </c>
      <c r="I354" t="s">
        <v>40</v>
      </c>
      <c r="J354" t="s">
        <v>2144</v>
      </c>
      <c r="K354" t="s">
        <v>19</v>
      </c>
      <c r="L354" s="1" t="str">
        <f t="shared" si="30"/>
        <v>2023</v>
      </c>
      <c r="M354" t="str">
        <f t="shared" si="31"/>
        <v>Nov</v>
      </c>
      <c r="N354" t="str">
        <f t="shared" si="32"/>
        <v>Sun</v>
      </c>
      <c r="O354" s="1">
        <f t="shared" si="33"/>
        <v>2</v>
      </c>
      <c r="P354" s="1">
        <f t="shared" si="34"/>
        <v>17.25</v>
      </c>
      <c r="Q354" s="1">
        <f>ROUND(G354*H354*VLOOKUP(D354,'Cost Product'!A$1:C$21,3,FALSE),0)</f>
        <v>9</v>
      </c>
      <c r="R354" s="1">
        <f t="shared" si="35"/>
        <v>8.25</v>
      </c>
    </row>
    <row r="355" spans="1:18" x14ac:dyDescent="0.25">
      <c r="A355" s="1" t="s">
        <v>745</v>
      </c>
      <c r="B355" t="s">
        <v>746</v>
      </c>
      <c r="C355" t="s">
        <v>22</v>
      </c>
      <c r="D355" t="s">
        <v>56</v>
      </c>
      <c r="E355" s="4">
        <v>45566</v>
      </c>
      <c r="F355" s="4">
        <v>45567</v>
      </c>
      <c r="G355" s="1">
        <v>1</v>
      </c>
      <c r="H355" s="1">
        <v>8.75</v>
      </c>
      <c r="I355" t="s">
        <v>13</v>
      </c>
      <c r="J355" t="s">
        <v>2144</v>
      </c>
      <c r="K355" t="s">
        <v>19</v>
      </c>
      <c r="L355" s="1" t="str">
        <f t="shared" si="30"/>
        <v>2024</v>
      </c>
      <c r="M355" t="str">
        <f t="shared" si="31"/>
        <v>Oct</v>
      </c>
      <c r="N355" t="str">
        <f t="shared" si="32"/>
        <v>Tue</v>
      </c>
      <c r="O355" s="1">
        <f t="shared" si="33"/>
        <v>1</v>
      </c>
      <c r="P355" s="1">
        <f t="shared" si="34"/>
        <v>8.75</v>
      </c>
      <c r="Q355" s="1">
        <f>ROUND(G355*H355*VLOOKUP(D355,'Cost Product'!A$1:C$21,3,FALSE),0)</f>
        <v>5</v>
      </c>
      <c r="R355" s="1">
        <f t="shared" si="35"/>
        <v>3.75</v>
      </c>
    </row>
    <row r="356" spans="1:18" x14ac:dyDescent="0.25">
      <c r="A356" s="1" t="s">
        <v>747</v>
      </c>
      <c r="B356" t="s">
        <v>748</v>
      </c>
      <c r="C356" t="s">
        <v>17</v>
      </c>
      <c r="D356" t="s">
        <v>53</v>
      </c>
      <c r="E356" s="4">
        <v>45301</v>
      </c>
      <c r="F356" s="4">
        <v>45304</v>
      </c>
      <c r="G356" s="1">
        <v>3</v>
      </c>
      <c r="H356" s="1">
        <v>4.75</v>
      </c>
      <c r="I356" t="s">
        <v>13</v>
      </c>
      <c r="J356" t="s">
        <v>2144</v>
      </c>
      <c r="K356" t="s">
        <v>28</v>
      </c>
      <c r="L356" s="1" t="str">
        <f t="shared" si="30"/>
        <v>2024</v>
      </c>
      <c r="M356" t="str">
        <f t="shared" si="31"/>
        <v>Jan</v>
      </c>
      <c r="N356" t="str">
        <f t="shared" si="32"/>
        <v>Wed</v>
      </c>
      <c r="O356" s="1">
        <f t="shared" si="33"/>
        <v>3</v>
      </c>
      <c r="P356" s="1">
        <f t="shared" si="34"/>
        <v>14.25</v>
      </c>
      <c r="Q356" s="1">
        <f>ROUND(G356*H356*VLOOKUP(D356,'Cost Product'!A$1:C$21,3,FALSE),0)</f>
        <v>8</v>
      </c>
      <c r="R356" s="1">
        <f t="shared" si="35"/>
        <v>6.25</v>
      </c>
    </row>
    <row r="357" spans="1:18" x14ac:dyDescent="0.25">
      <c r="A357" s="1" t="s">
        <v>749</v>
      </c>
      <c r="B357" t="s">
        <v>750</v>
      </c>
      <c r="C357" t="s">
        <v>17</v>
      </c>
      <c r="D357" t="s">
        <v>53</v>
      </c>
      <c r="E357" s="4">
        <v>45382</v>
      </c>
      <c r="F357" s="4">
        <v>45394</v>
      </c>
      <c r="G357" s="1">
        <v>1</v>
      </c>
      <c r="H357" s="1">
        <v>4.75</v>
      </c>
      <c r="I357" t="s">
        <v>13</v>
      </c>
      <c r="J357" t="s">
        <v>2145</v>
      </c>
      <c r="K357" t="s">
        <v>19</v>
      </c>
      <c r="L357" s="1" t="str">
        <f t="shared" si="30"/>
        <v>2024</v>
      </c>
      <c r="M357" t="str">
        <f t="shared" si="31"/>
        <v>Mar</v>
      </c>
      <c r="N357" t="str">
        <f t="shared" si="32"/>
        <v>Sun</v>
      </c>
      <c r="O357" s="1">
        <f t="shared" si="33"/>
        <v>12</v>
      </c>
      <c r="P357" s="1">
        <f t="shared" si="34"/>
        <v>4.75</v>
      </c>
      <c r="Q357" s="1">
        <f>ROUND(G357*H357*VLOOKUP(D357,'Cost Product'!A$1:C$21,3,FALSE),0)</f>
        <v>3</v>
      </c>
      <c r="R357" s="1">
        <f t="shared" si="35"/>
        <v>1.75</v>
      </c>
    </row>
    <row r="358" spans="1:18" x14ac:dyDescent="0.25">
      <c r="A358" s="1" t="s">
        <v>751</v>
      </c>
      <c r="B358" t="s">
        <v>752</v>
      </c>
      <c r="C358" t="s">
        <v>11</v>
      </c>
      <c r="D358" t="s">
        <v>39</v>
      </c>
      <c r="E358" s="4">
        <v>45283</v>
      </c>
      <c r="F358" s="4">
        <v>45284</v>
      </c>
      <c r="G358" s="1">
        <v>2</v>
      </c>
      <c r="H358" s="1">
        <v>5.75</v>
      </c>
      <c r="I358" t="s">
        <v>13</v>
      </c>
      <c r="J358" t="s">
        <v>2141</v>
      </c>
      <c r="K358" t="s">
        <v>19</v>
      </c>
      <c r="L358" s="1" t="str">
        <f t="shared" si="30"/>
        <v>2023</v>
      </c>
      <c r="M358" t="str">
        <f t="shared" si="31"/>
        <v>Dec</v>
      </c>
      <c r="N358" t="str">
        <f t="shared" si="32"/>
        <v>Sat</v>
      </c>
      <c r="O358" s="1">
        <f t="shared" si="33"/>
        <v>1</v>
      </c>
      <c r="P358" s="1">
        <f t="shared" si="34"/>
        <v>11.5</v>
      </c>
      <c r="Q358" s="1">
        <f>ROUND(G358*H358*VLOOKUP(D358,'Cost Product'!A$1:C$21,3,FALSE),0)</f>
        <v>6</v>
      </c>
      <c r="R358" s="1">
        <f t="shared" si="35"/>
        <v>5.5</v>
      </c>
    </row>
    <row r="359" spans="1:18" x14ac:dyDescent="0.25">
      <c r="A359" s="1" t="s">
        <v>753</v>
      </c>
      <c r="B359" t="s">
        <v>754</v>
      </c>
      <c r="C359" t="s">
        <v>26</v>
      </c>
      <c r="D359" t="s">
        <v>27</v>
      </c>
      <c r="E359" s="4">
        <v>45269</v>
      </c>
      <c r="F359" s="4">
        <v>45271</v>
      </c>
      <c r="G359" s="1">
        <v>4</v>
      </c>
      <c r="H359" s="1">
        <v>4.75</v>
      </c>
      <c r="I359" t="s">
        <v>13</v>
      </c>
      <c r="J359" t="s">
        <v>2144</v>
      </c>
      <c r="K359" t="s">
        <v>28</v>
      </c>
      <c r="L359" s="1" t="str">
        <f t="shared" si="30"/>
        <v>2023</v>
      </c>
      <c r="M359" t="str">
        <f t="shared" si="31"/>
        <v>Dec</v>
      </c>
      <c r="N359" t="str">
        <f t="shared" si="32"/>
        <v>Sat</v>
      </c>
      <c r="O359" s="1">
        <f t="shared" si="33"/>
        <v>2</v>
      </c>
      <c r="P359" s="1">
        <f t="shared" si="34"/>
        <v>19</v>
      </c>
      <c r="Q359" s="1">
        <f>ROUND(G359*H359*VLOOKUP(D359,'Cost Product'!A$1:C$21,3,FALSE),0)</f>
        <v>10</v>
      </c>
      <c r="R359" s="1">
        <f t="shared" si="35"/>
        <v>9</v>
      </c>
    </row>
    <row r="360" spans="1:18" x14ac:dyDescent="0.25">
      <c r="A360" s="1" t="s">
        <v>755</v>
      </c>
      <c r="B360" t="s">
        <v>756</v>
      </c>
      <c r="C360" t="s">
        <v>17</v>
      </c>
      <c r="D360" t="s">
        <v>79</v>
      </c>
      <c r="E360" s="4">
        <v>45236</v>
      </c>
      <c r="F360" s="4">
        <v>45246</v>
      </c>
      <c r="G360" s="1">
        <v>5</v>
      </c>
      <c r="H360" s="1">
        <v>5</v>
      </c>
      <c r="I360" t="s">
        <v>13</v>
      </c>
      <c r="J360" t="s">
        <v>2143</v>
      </c>
      <c r="K360" t="s">
        <v>14</v>
      </c>
      <c r="L360" s="1" t="str">
        <f t="shared" si="30"/>
        <v>2023</v>
      </c>
      <c r="M360" t="str">
        <f t="shared" si="31"/>
        <v>Nov</v>
      </c>
      <c r="N360" t="str">
        <f t="shared" si="32"/>
        <v>Mon</v>
      </c>
      <c r="O360" s="1">
        <f t="shared" si="33"/>
        <v>10</v>
      </c>
      <c r="P360" s="1">
        <f t="shared" si="34"/>
        <v>25</v>
      </c>
      <c r="Q360" s="1">
        <f>ROUND(G360*H360*VLOOKUP(D360,'Cost Product'!A$1:C$21,3,FALSE),0)</f>
        <v>14</v>
      </c>
      <c r="R360" s="1">
        <f t="shared" si="35"/>
        <v>11</v>
      </c>
    </row>
    <row r="361" spans="1:18" x14ac:dyDescent="0.25">
      <c r="A361" s="1" t="s">
        <v>757</v>
      </c>
      <c r="B361" t="s">
        <v>758</v>
      </c>
      <c r="C361" t="s">
        <v>65</v>
      </c>
      <c r="D361" t="s">
        <v>115</v>
      </c>
      <c r="E361" s="4">
        <v>45547</v>
      </c>
      <c r="F361" s="4">
        <v>45550</v>
      </c>
      <c r="G361" s="1">
        <v>2</v>
      </c>
      <c r="H361" s="1">
        <v>3</v>
      </c>
      <c r="I361" t="s">
        <v>13</v>
      </c>
      <c r="J361" t="s">
        <v>2141</v>
      </c>
      <c r="K361" t="s">
        <v>28</v>
      </c>
      <c r="L361" s="1" t="str">
        <f t="shared" si="30"/>
        <v>2024</v>
      </c>
      <c r="M361" t="str">
        <f t="shared" si="31"/>
        <v>Sep</v>
      </c>
      <c r="N361" t="str">
        <f t="shared" si="32"/>
        <v>Thu</v>
      </c>
      <c r="O361" s="1">
        <f t="shared" si="33"/>
        <v>3</v>
      </c>
      <c r="P361" s="1">
        <f t="shared" si="34"/>
        <v>6</v>
      </c>
      <c r="Q361" s="1">
        <f>ROUND(G361*H361*VLOOKUP(D361,'Cost Product'!A$1:C$21,3,FALSE),0)</f>
        <v>3</v>
      </c>
      <c r="R361" s="1">
        <f t="shared" si="35"/>
        <v>3</v>
      </c>
    </row>
    <row r="362" spans="1:18" x14ac:dyDescent="0.25">
      <c r="A362" s="1" t="s">
        <v>759</v>
      </c>
      <c r="B362" t="s">
        <v>760</v>
      </c>
      <c r="C362" t="s">
        <v>17</v>
      </c>
      <c r="D362" t="s">
        <v>18</v>
      </c>
      <c r="E362" s="4">
        <v>45578</v>
      </c>
      <c r="F362" s="4">
        <v>45582</v>
      </c>
      <c r="G362" s="1">
        <v>2</v>
      </c>
      <c r="H362" s="1">
        <v>5.5</v>
      </c>
      <c r="I362" t="s">
        <v>13</v>
      </c>
      <c r="J362" t="s">
        <v>2145</v>
      </c>
      <c r="K362" t="s">
        <v>14</v>
      </c>
      <c r="L362" s="1" t="str">
        <f t="shared" si="30"/>
        <v>2024</v>
      </c>
      <c r="M362" t="str">
        <f t="shared" si="31"/>
        <v>Oct</v>
      </c>
      <c r="N362" t="str">
        <f t="shared" si="32"/>
        <v>Sun</v>
      </c>
      <c r="O362" s="1">
        <f t="shared" si="33"/>
        <v>4</v>
      </c>
      <c r="P362" s="1">
        <f t="shared" si="34"/>
        <v>11</v>
      </c>
      <c r="Q362" s="1">
        <f>ROUND(G362*H362*VLOOKUP(D362,'Cost Product'!A$1:C$21,3,FALSE),0)</f>
        <v>7</v>
      </c>
      <c r="R362" s="1">
        <f t="shared" si="35"/>
        <v>4</v>
      </c>
    </row>
    <row r="363" spans="1:18" x14ac:dyDescent="0.25">
      <c r="A363" s="1" t="s">
        <v>761</v>
      </c>
      <c r="B363" t="s">
        <v>762</v>
      </c>
      <c r="C363" t="s">
        <v>11</v>
      </c>
      <c r="D363" t="s">
        <v>36</v>
      </c>
      <c r="E363" s="4">
        <v>45207</v>
      </c>
      <c r="F363" s="4">
        <v>45211</v>
      </c>
      <c r="G363" s="1">
        <v>2</v>
      </c>
      <c r="H363" s="1">
        <v>6.25</v>
      </c>
      <c r="I363" t="s">
        <v>13</v>
      </c>
      <c r="J363" t="s">
        <v>2146</v>
      </c>
      <c r="K363" t="s">
        <v>28</v>
      </c>
      <c r="L363" s="1" t="str">
        <f t="shared" si="30"/>
        <v>2023</v>
      </c>
      <c r="M363" t="str">
        <f t="shared" si="31"/>
        <v>Oct</v>
      </c>
      <c r="N363" t="str">
        <f t="shared" si="32"/>
        <v>Sun</v>
      </c>
      <c r="O363" s="1">
        <f t="shared" si="33"/>
        <v>4</v>
      </c>
      <c r="P363" s="1">
        <f t="shared" si="34"/>
        <v>12.5</v>
      </c>
      <c r="Q363" s="1">
        <f>ROUND(G363*H363*VLOOKUP(D363,'Cost Product'!A$1:C$21,3,FALSE),0)</f>
        <v>7</v>
      </c>
      <c r="R363" s="1">
        <f t="shared" si="35"/>
        <v>5.5</v>
      </c>
    </row>
    <row r="364" spans="1:18" x14ac:dyDescent="0.25">
      <c r="A364" s="1" t="s">
        <v>763</v>
      </c>
      <c r="B364" t="s">
        <v>764</v>
      </c>
      <c r="C364" t="s">
        <v>22</v>
      </c>
      <c r="D364" t="s">
        <v>59</v>
      </c>
      <c r="E364" s="4">
        <v>45268</v>
      </c>
      <c r="F364" s="4">
        <v>45269</v>
      </c>
      <c r="G364" s="1">
        <v>2</v>
      </c>
      <c r="H364" s="1">
        <v>8.5</v>
      </c>
      <c r="I364" t="s">
        <v>13</v>
      </c>
      <c r="J364" t="s">
        <v>2145</v>
      </c>
      <c r="K364" t="s">
        <v>19</v>
      </c>
      <c r="L364" s="1" t="str">
        <f t="shared" si="30"/>
        <v>2023</v>
      </c>
      <c r="M364" t="str">
        <f t="shared" si="31"/>
        <v>Dec</v>
      </c>
      <c r="N364" t="str">
        <f t="shared" si="32"/>
        <v>Fri</v>
      </c>
      <c r="O364" s="1">
        <f t="shared" si="33"/>
        <v>1</v>
      </c>
      <c r="P364" s="1">
        <f t="shared" si="34"/>
        <v>17</v>
      </c>
      <c r="Q364" s="1">
        <f>ROUND(G364*H364*VLOOKUP(D364,'Cost Product'!A$1:C$21,3,FALSE),0)</f>
        <v>10</v>
      </c>
      <c r="R364" s="1">
        <f t="shared" si="35"/>
        <v>7</v>
      </c>
    </row>
    <row r="365" spans="1:18" x14ac:dyDescent="0.25">
      <c r="A365" s="1" t="s">
        <v>765</v>
      </c>
      <c r="B365" t="s">
        <v>766</v>
      </c>
      <c r="C365" t="s">
        <v>26</v>
      </c>
      <c r="D365" t="s">
        <v>82</v>
      </c>
      <c r="E365" s="4">
        <v>45372</v>
      </c>
      <c r="F365" s="4">
        <v>45373</v>
      </c>
      <c r="G365" s="1">
        <v>4</v>
      </c>
      <c r="H365" s="1">
        <v>4.25</v>
      </c>
      <c r="I365" t="s">
        <v>13</v>
      </c>
      <c r="J365" t="s">
        <v>2142</v>
      </c>
      <c r="K365" t="s">
        <v>28</v>
      </c>
      <c r="L365" s="1" t="str">
        <f t="shared" si="30"/>
        <v>2024</v>
      </c>
      <c r="M365" t="str">
        <f t="shared" si="31"/>
        <v>Mar</v>
      </c>
      <c r="N365" t="str">
        <f t="shared" si="32"/>
        <v>Thu</v>
      </c>
      <c r="O365" s="1">
        <f t="shared" si="33"/>
        <v>1</v>
      </c>
      <c r="P365" s="1">
        <f t="shared" si="34"/>
        <v>17</v>
      </c>
      <c r="Q365" s="1">
        <f>ROUND(G365*H365*VLOOKUP(D365,'Cost Product'!A$1:C$21,3,FALSE),0)</f>
        <v>8</v>
      </c>
      <c r="R365" s="1">
        <f t="shared" si="35"/>
        <v>9</v>
      </c>
    </row>
    <row r="366" spans="1:18" x14ac:dyDescent="0.25">
      <c r="A366" s="1" t="s">
        <v>767</v>
      </c>
      <c r="B366" t="s">
        <v>768</v>
      </c>
      <c r="C366" t="s">
        <v>65</v>
      </c>
      <c r="D366" t="s">
        <v>115</v>
      </c>
      <c r="E366" s="4">
        <v>45209</v>
      </c>
      <c r="F366" s="4">
        <v>45212</v>
      </c>
      <c r="G366" s="1">
        <v>2</v>
      </c>
      <c r="H366" s="1">
        <v>3</v>
      </c>
      <c r="I366" t="s">
        <v>13</v>
      </c>
      <c r="J366" t="s">
        <v>2141</v>
      </c>
      <c r="K366" t="s">
        <v>28</v>
      </c>
      <c r="L366" s="1" t="str">
        <f t="shared" si="30"/>
        <v>2023</v>
      </c>
      <c r="M366" t="str">
        <f t="shared" si="31"/>
        <v>Oct</v>
      </c>
      <c r="N366" t="str">
        <f t="shared" si="32"/>
        <v>Tue</v>
      </c>
      <c r="O366" s="1">
        <f t="shared" si="33"/>
        <v>3</v>
      </c>
      <c r="P366" s="1">
        <f t="shared" si="34"/>
        <v>6</v>
      </c>
      <c r="Q366" s="1">
        <f>ROUND(G366*H366*VLOOKUP(D366,'Cost Product'!A$1:C$21,3,FALSE),0)</f>
        <v>3</v>
      </c>
      <c r="R366" s="1">
        <f t="shared" si="35"/>
        <v>3</v>
      </c>
    </row>
    <row r="367" spans="1:18" x14ac:dyDescent="0.25">
      <c r="A367" s="1" t="s">
        <v>769</v>
      </c>
      <c r="B367" t="s">
        <v>770</v>
      </c>
      <c r="C367" t="s">
        <v>65</v>
      </c>
      <c r="D367" t="s">
        <v>115</v>
      </c>
      <c r="E367" s="4">
        <v>45285</v>
      </c>
      <c r="F367" s="4">
        <v>45286</v>
      </c>
      <c r="G367" s="1">
        <v>2</v>
      </c>
      <c r="H367" s="1">
        <v>3</v>
      </c>
      <c r="I367" t="s">
        <v>13</v>
      </c>
      <c r="J367" t="s">
        <v>2141</v>
      </c>
      <c r="K367" t="s">
        <v>28</v>
      </c>
      <c r="L367" s="1" t="str">
        <f t="shared" si="30"/>
        <v>2023</v>
      </c>
      <c r="M367" t="str">
        <f t="shared" si="31"/>
        <v>Dec</v>
      </c>
      <c r="N367" t="str">
        <f t="shared" si="32"/>
        <v>Mon</v>
      </c>
      <c r="O367" s="1">
        <f t="shared" si="33"/>
        <v>1</v>
      </c>
      <c r="P367" s="1">
        <f t="shared" si="34"/>
        <v>6</v>
      </c>
      <c r="Q367" s="1">
        <f>ROUND(G367*H367*VLOOKUP(D367,'Cost Product'!A$1:C$21,3,FALSE),0)</f>
        <v>3</v>
      </c>
      <c r="R367" s="1">
        <f t="shared" si="35"/>
        <v>3</v>
      </c>
    </row>
    <row r="368" spans="1:18" x14ac:dyDescent="0.25">
      <c r="A368" s="1" t="s">
        <v>771</v>
      </c>
      <c r="B368" t="s">
        <v>772</v>
      </c>
      <c r="C368" t="s">
        <v>17</v>
      </c>
      <c r="D368" t="s">
        <v>79</v>
      </c>
      <c r="E368" s="4">
        <v>45208</v>
      </c>
      <c r="F368" s="4">
        <v>45211</v>
      </c>
      <c r="G368" s="1">
        <v>1</v>
      </c>
      <c r="H368" s="1">
        <v>5</v>
      </c>
      <c r="I368" t="s">
        <v>13</v>
      </c>
      <c r="J368" t="s">
        <v>2141</v>
      </c>
      <c r="K368" t="s">
        <v>19</v>
      </c>
      <c r="L368" s="1" t="str">
        <f t="shared" si="30"/>
        <v>2023</v>
      </c>
      <c r="M368" t="str">
        <f t="shared" si="31"/>
        <v>Oct</v>
      </c>
      <c r="N368" t="str">
        <f t="shared" si="32"/>
        <v>Mon</v>
      </c>
      <c r="O368" s="1">
        <f t="shared" si="33"/>
        <v>3</v>
      </c>
      <c r="P368" s="1">
        <f t="shared" si="34"/>
        <v>5</v>
      </c>
      <c r="Q368" s="1">
        <f>ROUND(G368*H368*VLOOKUP(D368,'Cost Product'!A$1:C$21,3,FALSE),0)</f>
        <v>3</v>
      </c>
      <c r="R368" s="1">
        <f t="shared" si="35"/>
        <v>2</v>
      </c>
    </row>
    <row r="369" spans="1:18" x14ac:dyDescent="0.25">
      <c r="A369" s="1" t="s">
        <v>773</v>
      </c>
      <c r="B369" t="s">
        <v>774</v>
      </c>
      <c r="C369" t="s">
        <v>26</v>
      </c>
      <c r="D369" t="s">
        <v>104</v>
      </c>
      <c r="E369" s="4">
        <v>45547</v>
      </c>
      <c r="F369" s="4">
        <v>45548</v>
      </c>
      <c r="G369" s="1">
        <v>5</v>
      </c>
      <c r="H369" s="1">
        <v>4.5</v>
      </c>
      <c r="I369" t="s">
        <v>40</v>
      </c>
      <c r="J369" t="s">
        <v>2141</v>
      </c>
      <c r="K369" t="s">
        <v>14</v>
      </c>
      <c r="L369" s="1" t="str">
        <f t="shared" si="30"/>
        <v>2024</v>
      </c>
      <c r="M369" t="str">
        <f t="shared" si="31"/>
        <v>Sep</v>
      </c>
      <c r="N369" t="str">
        <f t="shared" si="32"/>
        <v>Thu</v>
      </c>
      <c r="O369" s="1">
        <f t="shared" si="33"/>
        <v>1</v>
      </c>
      <c r="P369" s="1">
        <f t="shared" si="34"/>
        <v>22.5</v>
      </c>
      <c r="Q369" s="1">
        <f>ROUND(G369*H369*VLOOKUP(D369,'Cost Product'!A$1:C$21,3,FALSE),0)</f>
        <v>11</v>
      </c>
      <c r="R369" s="1">
        <f t="shared" si="35"/>
        <v>11.5</v>
      </c>
    </row>
    <row r="370" spans="1:18" x14ac:dyDescent="0.25">
      <c r="A370" s="1" t="s">
        <v>775</v>
      </c>
      <c r="B370" t="s">
        <v>776</v>
      </c>
      <c r="C370" t="s">
        <v>22</v>
      </c>
      <c r="D370" t="s">
        <v>56</v>
      </c>
      <c r="E370" s="4">
        <v>45560</v>
      </c>
      <c r="F370" s="4">
        <v>45568</v>
      </c>
      <c r="G370" s="1">
        <v>2</v>
      </c>
      <c r="H370" s="1">
        <v>8.75</v>
      </c>
      <c r="I370" t="s">
        <v>13</v>
      </c>
      <c r="J370" t="s">
        <v>2142</v>
      </c>
      <c r="K370" t="s">
        <v>19</v>
      </c>
      <c r="L370" s="1" t="str">
        <f t="shared" si="30"/>
        <v>2024</v>
      </c>
      <c r="M370" t="str">
        <f t="shared" si="31"/>
        <v>Sep</v>
      </c>
      <c r="N370" t="str">
        <f t="shared" si="32"/>
        <v>Wed</v>
      </c>
      <c r="O370" s="1">
        <f t="shared" si="33"/>
        <v>8</v>
      </c>
      <c r="P370" s="1">
        <f t="shared" si="34"/>
        <v>17.5</v>
      </c>
      <c r="Q370" s="1">
        <f>ROUND(G370*H370*VLOOKUP(D370,'Cost Product'!A$1:C$21,3,FALSE),0)</f>
        <v>10</v>
      </c>
      <c r="R370" s="1">
        <f t="shared" si="35"/>
        <v>7.5</v>
      </c>
    </row>
    <row r="371" spans="1:18" x14ac:dyDescent="0.25">
      <c r="A371" s="1" t="s">
        <v>777</v>
      </c>
      <c r="B371" t="s">
        <v>778</v>
      </c>
      <c r="C371" t="s">
        <v>11</v>
      </c>
      <c r="D371" t="s">
        <v>39</v>
      </c>
      <c r="E371" s="4">
        <v>45195</v>
      </c>
      <c r="F371" s="4">
        <v>45207</v>
      </c>
      <c r="G371" s="1">
        <v>1</v>
      </c>
      <c r="H371" s="1">
        <v>5.75</v>
      </c>
      <c r="I371" t="s">
        <v>40</v>
      </c>
      <c r="J371" t="s">
        <v>2141</v>
      </c>
      <c r="K371" t="s">
        <v>28</v>
      </c>
      <c r="L371" s="1" t="str">
        <f t="shared" si="30"/>
        <v>2023</v>
      </c>
      <c r="M371" t="str">
        <f t="shared" si="31"/>
        <v>Sep</v>
      </c>
      <c r="N371" t="str">
        <f t="shared" si="32"/>
        <v>Tue</v>
      </c>
      <c r="O371" s="1">
        <f t="shared" si="33"/>
        <v>12</v>
      </c>
      <c r="P371" s="1">
        <f t="shared" si="34"/>
        <v>5.75</v>
      </c>
      <c r="Q371" s="1">
        <f>ROUND(G371*H371*VLOOKUP(D371,'Cost Product'!A$1:C$21,3,FALSE),0)</f>
        <v>3</v>
      </c>
      <c r="R371" s="1">
        <f t="shared" si="35"/>
        <v>2.75</v>
      </c>
    </row>
    <row r="372" spans="1:18" x14ac:dyDescent="0.25">
      <c r="A372" s="1" t="s">
        <v>779</v>
      </c>
      <c r="B372" t="s">
        <v>780</v>
      </c>
      <c r="C372" t="s">
        <v>17</v>
      </c>
      <c r="D372" t="s">
        <v>79</v>
      </c>
      <c r="E372" s="4">
        <v>45517</v>
      </c>
      <c r="F372" s="4">
        <v>45518</v>
      </c>
      <c r="G372" s="1">
        <v>3</v>
      </c>
      <c r="H372" s="1">
        <v>5</v>
      </c>
      <c r="I372" t="s">
        <v>13</v>
      </c>
      <c r="J372" t="s">
        <v>2146</v>
      </c>
      <c r="K372" t="s">
        <v>28</v>
      </c>
      <c r="L372" s="1" t="str">
        <f t="shared" si="30"/>
        <v>2024</v>
      </c>
      <c r="M372" t="str">
        <f t="shared" si="31"/>
        <v>Aug</v>
      </c>
      <c r="N372" t="str">
        <f t="shared" si="32"/>
        <v>Tue</v>
      </c>
      <c r="O372" s="1">
        <f t="shared" si="33"/>
        <v>1</v>
      </c>
      <c r="P372" s="1">
        <f t="shared" si="34"/>
        <v>15</v>
      </c>
      <c r="Q372" s="1">
        <f>ROUND(G372*H372*VLOOKUP(D372,'Cost Product'!A$1:C$21,3,FALSE),0)</f>
        <v>8</v>
      </c>
      <c r="R372" s="1">
        <f t="shared" si="35"/>
        <v>7</v>
      </c>
    </row>
    <row r="373" spans="1:18" x14ac:dyDescent="0.25">
      <c r="A373" s="1" t="s">
        <v>781</v>
      </c>
      <c r="B373" t="s">
        <v>782</v>
      </c>
      <c r="C373" t="s">
        <v>22</v>
      </c>
      <c r="D373" t="s">
        <v>59</v>
      </c>
      <c r="E373" s="4">
        <v>45315</v>
      </c>
      <c r="F373" s="4">
        <v>45318</v>
      </c>
      <c r="G373" s="1">
        <v>2</v>
      </c>
      <c r="H373" s="1">
        <v>8.5</v>
      </c>
      <c r="I373" t="s">
        <v>13</v>
      </c>
      <c r="J373" t="s">
        <v>2142</v>
      </c>
      <c r="K373" t="s">
        <v>28</v>
      </c>
      <c r="L373" s="1" t="str">
        <f t="shared" si="30"/>
        <v>2024</v>
      </c>
      <c r="M373" t="str">
        <f t="shared" si="31"/>
        <v>Jan</v>
      </c>
      <c r="N373" t="str">
        <f t="shared" si="32"/>
        <v>Wed</v>
      </c>
      <c r="O373" s="1">
        <f t="shared" si="33"/>
        <v>3</v>
      </c>
      <c r="P373" s="1">
        <f t="shared" si="34"/>
        <v>17</v>
      </c>
      <c r="Q373" s="1">
        <f>ROUND(G373*H373*VLOOKUP(D373,'Cost Product'!A$1:C$21,3,FALSE),0)</f>
        <v>10</v>
      </c>
      <c r="R373" s="1">
        <f t="shared" si="35"/>
        <v>7</v>
      </c>
    </row>
    <row r="374" spans="1:18" x14ac:dyDescent="0.25">
      <c r="A374" s="1" t="s">
        <v>783</v>
      </c>
      <c r="B374" t="s">
        <v>784</v>
      </c>
      <c r="C374" t="s">
        <v>22</v>
      </c>
      <c r="D374" t="s">
        <v>23</v>
      </c>
      <c r="E374" s="4">
        <v>45130</v>
      </c>
      <c r="F374" s="4">
        <v>45136</v>
      </c>
      <c r="G374" s="1">
        <v>3</v>
      </c>
      <c r="H374" s="1">
        <v>10</v>
      </c>
      <c r="I374" t="s">
        <v>13</v>
      </c>
      <c r="J374" t="s">
        <v>2141</v>
      </c>
      <c r="K374" t="s">
        <v>14</v>
      </c>
      <c r="L374" s="1" t="str">
        <f t="shared" si="30"/>
        <v>2023</v>
      </c>
      <c r="M374" t="str">
        <f t="shared" si="31"/>
        <v>Jul</v>
      </c>
      <c r="N374" t="str">
        <f t="shared" si="32"/>
        <v>Sun</v>
      </c>
      <c r="O374" s="1">
        <f t="shared" si="33"/>
        <v>6</v>
      </c>
      <c r="P374" s="1">
        <f t="shared" si="34"/>
        <v>30</v>
      </c>
      <c r="Q374" s="1">
        <f>ROUND(G374*H374*VLOOKUP(D374,'Cost Product'!A$1:C$21,3,FALSE),0)</f>
        <v>20</v>
      </c>
      <c r="R374" s="1">
        <f t="shared" si="35"/>
        <v>10</v>
      </c>
    </row>
    <row r="375" spans="1:18" x14ac:dyDescent="0.25">
      <c r="A375" s="1" t="s">
        <v>785</v>
      </c>
      <c r="B375" t="s">
        <v>786</v>
      </c>
      <c r="C375" t="s">
        <v>22</v>
      </c>
      <c r="D375" t="s">
        <v>23</v>
      </c>
      <c r="E375" s="4">
        <v>45344</v>
      </c>
      <c r="F375" s="4">
        <v>45345</v>
      </c>
      <c r="G375" s="1">
        <v>2</v>
      </c>
      <c r="H375" s="1">
        <v>10</v>
      </c>
      <c r="I375" t="s">
        <v>13</v>
      </c>
      <c r="J375" t="s">
        <v>2141</v>
      </c>
      <c r="K375" t="s">
        <v>28</v>
      </c>
      <c r="L375" s="1" t="str">
        <f t="shared" si="30"/>
        <v>2024</v>
      </c>
      <c r="M375" t="str">
        <f t="shared" si="31"/>
        <v>Feb</v>
      </c>
      <c r="N375" t="str">
        <f t="shared" si="32"/>
        <v>Thu</v>
      </c>
      <c r="O375" s="1">
        <f t="shared" si="33"/>
        <v>1</v>
      </c>
      <c r="P375" s="1">
        <f t="shared" si="34"/>
        <v>20</v>
      </c>
      <c r="Q375" s="1">
        <f>ROUND(G375*H375*VLOOKUP(D375,'Cost Product'!A$1:C$21,3,FALSE),0)</f>
        <v>13</v>
      </c>
      <c r="R375" s="1">
        <f t="shared" si="35"/>
        <v>7</v>
      </c>
    </row>
    <row r="376" spans="1:18" x14ac:dyDescent="0.25">
      <c r="A376" s="1" t="s">
        <v>787</v>
      </c>
      <c r="B376" t="s">
        <v>788</v>
      </c>
      <c r="C376" t="s">
        <v>65</v>
      </c>
      <c r="D376" t="s">
        <v>115</v>
      </c>
      <c r="E376" s="4">
        <v>45460</v>
      </c>
      <c r="F376" s="4">
        <v>45470</v>
      </c>
      <c r="G376" s="1">
        <v>5</v>
      </c>
      <c r="H376" s="1">
        <v>3</v>
      </c>
      <c r="I376" t="s">
        <v>40</v>
      </c>
      <c r="J376" t="s">
        <v>2141</v>
      </c>
      <c r="K376" t="s">
        <v>28</v>
      </c>
      <c r="L376" s="1" t="str">
        <f t="shared" si="30"/>
        <v>2024</v>
      </c>
      <c r="M376" t="str">
        <f t="shared" si="31"/>
        <v>Jun</v>
      </c>
      <c r="N376" t="str">
        <f t="shared" si="32"/>
        <v>Mon</v>
      </c>
      <c r="O376" s="1">
        <f t="shared" si="33"/>
        <v>10</v>
      </c>
      <c r="P376" s="1">
        <f t="shared" si="34"/>
        <v>15</v>
      </c>
      <c r="Q376" s="1">
        <f>ROUND(G376*H376*VLOOKUP(D376,'Cost Product'!A$1:C$21,3,FALSE),0)</f>
        <v>7</v>
      </c>
      <c r="R376" s="1">
        <f t="shared" si="35"/>
        <v>8</v>
      </c>
    </row>
    <row r="377" spans="1:18" x14ac:dyDescent="0.25">
      <c r="A377" s="1" t="s">
        <v>789</v>
      </c>
      <c r="B377" t="s">
        <v>790</v>
      </c>
      <c r="C377" t="s">
        <v>11</v>
      </c>
      <c r="D377" t="s">
        <v>39</v>
      </c>
      <c r="E377" s="4">
        <v>45414</v>
      </c>
      <c r="F377" s="4">
        <v>45420</v>
      </c>
      <c r="G377" s="1">
        <v>1</v>
      </c>
      <c r="H377" s="1">
        <v>5.75</v>
      </c>
      <c r="I377" t="s">
        <v>13</v>
      </c>
      <c r="J377" t="s">
        <v>2141</v>
      </c>
      <c r="K377" t="s">
        <v>28</v>
      </c>
      <c r="L377" s="1" t="str">
        <f t="shared" si="30"/>
        <v>2024</v>
      </c>
      <c r="M377" t="str">
        <f t="shared" si="31"/>
        <v>May</v>
      </c>
      <c r="N377" t="str">
        <f t="shared" si="32"/>
        <v>Thu</v>
      </c>
      <c r="O377" s="1">
        <f t="shared" si="33"/>
        <v>6</v>
      </c>
      <c r="P377" s="1">
        <f t="shared" si="34"/>
        <v>5.75</v>
      </c>
      <c r="Q377" s="1">
        <f>ROUND(G377*H377*VLOOKUP(D377,'Cost Product'!A$1:C$21,3,FALSE),0)</f>
        <v>3</v>
      </c>
      <c r="R377" s="1">
        <f t="shared" si="35"/>
        <v>2.75</v>
      </c>
    </row>
    <row r="378" spans="1:18" x14ac:dyDescent="0.25">
      <c r="A378" s="1" t="s">
        <v>791</v>
      </c>
      <c r="B378" t="s">
        <v>792</v>
      </c>
      <c r="C378" t="s">
        <v>11</v>
      </c>
      <c r="D378" t="s">
        <v>36</v>
      </c>
      <c r="E378" s="4">
        <v>45161</v>
      </c>
      <c r="F378" s="4">
        <v>45165</v>
      </c>
      <c r="G378" s="1">
        <v>4</v>
      </c>
      <c r="H378" s="1">
        <v>6.25</v>
      </c>
      <c r="I378" t="s">
        <v>13</v>
      </c>
      <c r="J378" t="s">
        <v>2145</v>
      </c>
      <c r="K378" t="s">
        <v>28</v>
      </c>
      <c r="L378" s="1" t="str">
        <f t="shared" si="30"/>
        <v>2023</v>
      </c>
      <c r="M378" t="str">
        <f t="shared" si="31"/>
        <v>Aug</v>
      </c>
      <c r="N378" t="str">
        <f t="shared" si="32"/>
        <v>Wed</v>
      </c>
      <c r="O378" s="1">
        <f t="shared" si="33"/>
        <v>4</v>
      </c>
      <c r="P378" s="1">
        <f t="shared" si="34"/>
        <v>25</v>
      </c>
      <c r="Q378" s="1">
        <f>ROUND(G378*H378*VLOOKUP(D378,'Cost Product'!A$1:C$21,3,FALSE),0)</f>
        <v>14</v>
      </c>
      <c r="R378" s="1">
        <f t="shared" si="35"/>
        <v>11</v>
      </c>
    </row>
    <row r="379" spans="1:18" x14ac:dyDescent="0.25">
      <c r="A379" s="1" t="s">
        <v>793</v>
      </c>
      <c r="B379" t="s">
        <v>794</v>
      </c>
      <c r="C379" t="s">
        <v>11</v>
      </c>
      <c r="D379" t="s">
        <v>12</v>
      </c>
      <c r="E379" s="4">
        <v>45480</v>
      </c>
      <c r="F379" s="4">
        <v>45482</v>
      </c>
      <c r="G379" s="1">
        <v>4</v>
      </c>
      <c r="H379" s="1">
        <v>6.5</v>
      </c>
      <c r="I379" t="s">
        <v>13</v>
      </c>
      <c r="J379" t="s">
        <v>2144</v>
      </c>
      <c r="K379" t="s">
        <v>28</v>
      </c>
      <c r="L379" s="1" t="str">
        <f t="shared" si="30"/>
        <v>2024</v>
      </c>
      <c r="M379" t="str">
        <f t="shared" si="31"/>
        <v>Jul</v>
      </c>
      <c r="N379" t="str">
        <f t="shared" si="32"/>
        <v>Sun</v>
      </c>
      <c r="O379" s="1">
        <f t="shared" si="33"/>
        <v>2</v>
      </c>
      <c r="P379" s="1">
        <f t="shared" si="34"/>
        <v>26</v>
      </c>
      <c r="Q379" s="1">
        <f>ROUND(G379*H379*VLOOKUP(D379,'Cost Product'!A$1:C$21,3,FALSE),0)</f>
        <v>15</v>
      </c>
      <c r="R379" s="1">
        <f t="shared" si="35"/>
        <v>11</v>
      </c>
    </row>
    <row r="380" spans="1:18" x14ac:dyDescent="0.25">
      <c r="A380" s="1" t="s">
        <v>795</v>
      </c>
      <c r="B380" t="s">
        <v>796</v>
      </c>
      <c r="C380" t="s">
        <v>22</v>
      </c>
      <c r="D380" t="s">
        <v>59</v>
      </c>
      <c r="E380" s="4">
        <v>45184</v>
      </c>
      <c r="F380" s="4">
        <v>45185</v>
      </c>
      <c r="G380" s="1">
        <v>4</v>
      </c>
      <c r="H380" s="1">
        <v>8.5</v>
      </c>
      <c r="I380" t="s">
        <v>13</v>
      </c>
      <c r="J380" t="s">
        <v>2143</v>
      </c>
      <c r="K380" t="s">
        <v>28</v>
      </c>
      <c r="L380" s="1" t="str">
        <f t="shared" si="30"/>
        <v>2023</v>
      </c>
      <c r="M380" t="str">
        <f t="shared" si="31"/>
        <v>Sep</v>
      </c>
      <c r="N380" t="str">
        <f t="shared" si="32"/>
        <v>Fri</v>
      </c>
      <c r="O380" s="1">
        <f t="shared" si="33"/>
        <v>1</v>
      </c>
      <c r="P380" s="1">
        <f t="shared" si="34"/>
        <v>34</v>
      </c>
      <c r="Q380" s="1">
        <f>ROUND(G380*H380*VLOOKUP(D380,'Cost Product'!A$1:C$21,3,FALSE),0)</f>
        <v>20</v>
      </c>
      <c r="R380" s="1">
        <f t="shared" si="35"/>
        <v>14</v>
      </c>
    </row>
    <row r="381" spans="1:18" x14ac:dyDescent="0.25">
      <c r="A381" s="1" t="s">
        <v>797</v>
      </c>
      <c r="B381" t="s">
        <v>798</v>
      </c>
      <c r="C381" t="s">
        <v>65</v>
      </c>
      <c r="D381" t="s">
        <v>99</v>
      </c>
      <c r="E381" s="4">
        <v>45143</v>
      </c>
      <c r="F381" s="4">
        <v>45145</v>
      </c>
      <c r="G381" s="1">
        <v>2</v>
      </c>
      <c r="H381" s="1">
        <v>4</v>
      </c>
      <c r="I381" t="s">
        <v>13</v>
      </c>
      <c r="J381" t="s">
        <v>2141</v>
      </c>
      <c r="K381" t="s">
        <v>28</v>
      </c>
      <c r="L381" s="1" t="str">
        <f t="shared" si="30"/>
        <v>2023</v>
      </c>
      <c r="M381" t="str">
        <f t="shared" si="31"/>
        <v>Aug</v>
      </c>
      <c r="N381" t="str">
        <f t="shared" si="32"/>
        <v>Sat</v>
      </c>
      <c r="O381" s="1">
        <f t="shared" si="33"/>
        <v>2</v>
      </c>
      <c r="P381" s="1">
        <f t="shared" si="34"/>
        <v>8</v>
      </c>
      <c r="Q381" s="1">
        <f>ROUND(G381*H381*VLOOKUP(D381,'Cost Product'!A$1:C$21,3,FALSE),0)</f>
        <v>4</v>
      </c>
      <c r="R381" s="1">
        <f t="shared" si="35"/>
        <v>4</v>
      </c>
    </row>
    <row r="382" spans="1:18" x14ac:dyDescent="0.25">
      <c r="A382" s="1" t="s">
        <v>799</v>
      </c>
      <c r="B382" t="s">
        <v>800</v>
      </c>
      <c r="C382" t="s">
        <v>22</v>
      </c>
      <c r="D382" t="s">
        <v>23</v>
      </c>
      <c r="E382" s="4">
        <v>45558</v>
      </c>
      <c r="F382" s="4">
        <v>45561</v>
      </c>
      <c r="G382" s="1">
        <v>3</v>
      </c>
      <c r="H382" s="1">
        <v>10</v>
      </c>
      <c r="I382" t="s">
        <v>13</v>
      </c>
      <c r="J382" t="s">
        <v>2141</v>
      </c>
      <c r="K382" t="s">
        <v>28</v>
      </c>
      <c r="L382" s="1" t="str">
        <f t="shared" si="30"/>
        <v>2024</v>
      </c>
      <c r="M382" t="str">
        <f t="shared" si="31"/>
        <v>Sep</v>
      </c>
      <c r="N382" t="str">
        <f t="shared" si="32"/>
        <v>Mon</v>
      </c>
      <c r="O382" s="1">
        <f t="shared" si="33"/>
        <v>3</v>
      </c>
      <c r="P382" s="1">
        <f t="shared" si="34"/>
        <v>30</v>
      </c>
      <c r="Q382" s="1">
        <f>ROUND(G382*H382*VLOOKUP(D382,'Cost Product'!A$1:C$21,3,FALSE),0)</f>
        <v>20</v>
      </c>
      <c r="R382" s="1">
        <f t="shared" si="35"/>
        <v>10</v>
      </c>
    </row>
    <row r="383" spans="1:18" x14ac:dyDescent="0.25">
      <c r="A383" s="1" t="s">
        <v>801</v>
      </c>
      <c r="B383" t="s">
        <v>802</v>
      </c>
      <c r="C383" t="s">
        <v>65</v>
      </c>
      <c r="D383" t="s">
        <v>115</v>
      </c>
      <c r="E383" s="4">
        <v>45140</v>
      </c>
      <c r="F383" s="4">
        <v>45150</v>
      </c>
      <c r="G383" s="1">
        <v>4</v>
      </c>
      <c r="H383" s="1">
        <v>3</v>
      </c>
      <c r="I383" t="s">
        <v>40</v>
      </c>
      <c r="J383" t="s">
        <v>2145</v>
      </c>
      <c r="K383" t="s">
        <v>19</v>
      </c>
      <c r="L383" s="1" t="str">
        <f t="shared" si="30"/>
        <v>2023</v>
      </c>
      <c r="M383" t="str">
        <f t="shared" si="31"/>
        <v>Aug</v>
      </c>
      <c r="N383" t="str">
        <f t="shared" si="32"/>
        <v>Wed</v>
      </c>
      <c r="O383" s="1">
        <f t="shared" si="33"/>
        <v>10</v>
      </c>
      <c r="P383" s="1">
        <f t="shared" si="34"/>
        <v>12</v>
      </c>
      <c r="Q383" s="1">
        <f>ROUND(G383*H383*VLOOKUP(D383,'Cost Product'!A$1:C$21,3,FALSE),0)</f>
        <v>6</v>
      </c>
      <c r="R383" s="1">
        <f t="shared" si="35"/>
        <v>6</v>
      </c>
    </row>
    <row r="384" spans="1:18" x14ac:dyDescent="0.25">
      <c r="A384" s="1" t="s">
        <v>803</v>
      </c>
      <c r="B384" t="s">
        <v>804</v>
      </c>
      <c r="C384" t="s">
        <v>26</v>
      </c>
      <c r="D384" t="s">
        <v>45</v>
      </c>
      <c r="E384" s="4">
        <v>45202</v>
      </c>
      <c r="F384" s="4">
        <v>45203</v>
      </c>
      <c r="G384" s="1">
        <v>5</v>
      </c>
      <c r="H384" s="1">
        <v>4.5</v>
      </c>
      <c r="I384" t="s">
        <v>13</v>
      </c>
      <c r="J384" t="s">
        <v>2143</v>
      </c>
      <c r="K384" t="s">
        <v>14</v>
      </c>
      <c r="L384" s="1" t="str">
        <f t="shared" si="30"/>
        <v>2023</v>
      </c>
      <c r="M384" t="str">
        <f t="shared" si="31"/>
        <v>Oct</v>
      </c>
      <c r="N384" t="str">
        <f t="shared" si="32"/>
        <v>Tue</v>
      </c>
      <c r="O384" s="1">
        <f t="shared" si="33"/>
        <v>1</v>
      </c>
      <c r="P384" s="1">
        <f t="shared" si="34"/>
        <v>22.5</v>
      </c>
      <c r="Q384" s="1">
        <f>ROUND(G384*H384*VLOOKUP(D384,'Cost Product'!A$1:C$21,3,FALSE),0)</f>
        <v>12</v>
      </c>
      <c r="R384" s="1">
        <f t="shared" si="35"/>
        <v>10.5</v>
      </c>
    </row>
    <row r="385" spans="1:18" x14ac:dyDescent="0.25">
      <c r="A385" s="1" t="s">
        <v>805</v>
      </c>
      <c r="B385" t="s">
        <v>806</v>
      </c>
      <c r="C385" t="s">
        <v>26</v>
      </c>
      <c r="D385" t="s">
        <v>104</v>
      </c>
      <c r="E385" s="4">
        <v>45164</v>
      </c>
      <c r="F385" s="4">
        <v>45165</v>
      </c>
      <c r="G385" s="1">
        <v>1</v>
      </c>
      <c r="H385" s="1">
        <v>4.5</v>
      </c>
      <c r="I385" t="s">
        <v>13</v>
      </c>
      <c r="J385" t="s">
        <v>2142</v>
      </c>
      <c r="K385" t="s">
        <v>28</v>
      </c>
      <c r="L385" s="1" t="str">
        <f t="shared" si="30"/>
        <v>2023</v>
      </c>
      <c r="M385" t="str">
        <f t="shared" si="31"/>
        <v>Aug</v>
      </c>
      <c r="N385" t="str">
        <f t="shared" si="32"/>
        <v>Sat</v>
      </c>
      <c r="O385" s="1">
        <f t="shared" si="33"/>
        <v>1</v>
      </c>
      <c r="P385" s="1">
        <f t="shared" si="34"/>
        <v>4.5</v>
      </c>
      <c r="Q385" s="1">
        <f>ROUND(G385*H385*VLOOKUP(D385,'Cost Product'!A$1:C$21,3,FALSE),0)</f>
        <v>2</v>
      </c>
      <c r="R385" s="1">
        <f t="shared" si="35"/>
        <v>2.5</v>
      </c>
    </row>
    <row r="386" spans="1:18" x14ac:dyDescent="0.25">
      <c r="A386" s="1" t="s">
        <v>807</v>
      </c>
      <c r="B386" t="s">
        <v>808</v>
      </c>
      <c r="C386" t="s">
        <v>22</v>
      </c>
      <c r="D386" t="s">
        <v>23</v>
      </c>
      <c r="E386" s="4">
        <v>45440</v>
      </c>
      <c r="F386" s="4">
        <v>45443</v>
      </c>
      <c r="G386" s="1">
        <v>4</v>
      </c>
      <c r="H386" s="1">
        <v>10</v>
      </c>
      <c r="I386" t="s">
        <v>13</v>
      </c>
      <c r="J386" t="s">
        <v>2143</v>
      </c>
      <c r="K386" t="s">
        <v>19</v>
      </c>
      <c r="L386" s="1" t="str">
        <f t="shared" si="30"/>
        <v>2024</v>
      </c>
      <c r="M386" t="str">
        <f t="shared" si="31"/>
        <v>May</v>
      </c>
      <c r="N386" t="str">
        <f t="shared" si="32"/>
        <v>Tue</v>
      </c>
      <c r="O386" s="1">
        <f t="shared" si="33"/>
        <v>3</v>
      </c>
      <c r="P386" s="1">
        <f t="shared" si="34"/>
        <v>40</v>
      </c>
      <c r="Q386" s="1">
        <f>ROUND(G386*H386*VLOOKUP(D386,'Cost Product'!A$1:C$21,3,FALSE),0)</f>
        <v>26</v>
      </c>
      <c r="R386" s="1">
        <f t="shared" si="35"/>
        <v>14</v>
      </c>
    </row>
    <row r="387" spans="1:18" x14ac:dyDescent="0.25">
      <c r="A387" s="1" t="s">
        <v>809</v>
      </c>
      <c r="B387" t="s">
        <v>810</v>
      </c>
      <c r="C387" t="s">
        <v>11</v>
      </c>
      <c r="D387" t="s">
        <v>31</v>
      </c>
      <c r="E387" s="4">
        <v>45484</v>
      </c>
      <c r="F387" s="4">
        <v>45494</v>
      </c>
      <c r="G387" s="1">
        <v>2</v>
      </c>
      <c r="H387" s="1">
        <v>5.5</v>
      </c>
      <c r="I387" t="s">
        <v>13</v>
      </c>
      <c r="J387" t="s">
        <v>2145</v>
      </c>
      <c r="K387" t="s">
        <v>14</v>
      </c>
      <c r="L387" s="1" t="str">
        <f t="shared" ref="L387:L450" si="36">TEXT(E387, "YYYY")</f>
        <v>2024</v>
      </c>
      <c r="M387" t="str">
        <f t="shared" ref="M387:M450" si="37">TEXT(E387, "MMM")</f>
        <v>Jul</v>
      </c>
      <c r="N387" t="str">
        <f t="shared" ref="N387:N450" si="38">TEXT(E387, "DDD")</f>
        <v>Thu</v>
      </c>
      <c r="O387" s="1">
        <f t="shared" ref="O387:O450" si="39">DATEDIF(E387, F387, "D")</f>
        <v>10</v>
      </c>
      <c r="P387" s="1">
        <f t="shared" ref="P387:P450" si="40">G387*H387</f>
        <v>11</v>
      </c>
      <c r="Q387" s="1">
        <f>ROUND(G387*H387*VLOOKUP(D387,'Cost Product'!A$1:C$21,3,FALSE),0)</f>
        <v>6</v>
      </c>
      <c r="R387" s="1">
        <f t="shared" ref="R387:R450" si="41">P387-Q387</f>
        <v>5</v>
      </c>
    </row>
    <row r="388" spans="1:18" x14ac:dyDescent="0.25">
      <c r="A388" s="1" t="s">
        <v>811</v>
      </c>
      <c r="B388" t="s">
        <v>812</v>
      </c>
      <c r="C388" t="s">
        <v>65</v>
      </c>
      <c r="D388" t="s">
        <v>120</v>
      </c>
      <c r="E388" s="4">
        <v>45164</v>
      </c>
      <c r="F388" s="4">
        <v>45165</v>
      </c>
      <c r="G388" s="1">
        <v>1</v>
      </c>
      <c r="H388" s="1">
        <v>3.75</v>
      </c>
      <c r="I388" t="s">
        <v>13</v>
      </c>
      <c r="J388" t="s">
        <v>2144</v>
      </c>
      <c r="K388" t="s">
        <v>19</v>
      </c>
      <c r="L388" s="1" t="str">
        <f t="shared" si="36"/>
        <v>2023</v>
      </c>
      <c r="M388" t="str">
        <f t="shared" si="37"/>
        <v>Aug</v>
      </c>
      <c r="N388" t="str">
        <f t="shared" si="38"/>
        <v>Sat</v>
      </c>
      <c r="O388" s="1">
        <f t="shared" si="39"/>
        <v>1</v>
      </c>
      <c r="P388" s="1">
        <f t="shared" si="40"/>
        <v>3.75</v>
      </c>
      <c r="Q388" s="1">
        <f>ROUND(G388*H388*VLOOKUP(D388,'Cost Product'!A$1:C$21,3,FALSE),0)</f>
        <v>2</v>
      </c>
      <c r="R388" s="1">
        <f t="shared" si="41"/>
        <v>1.75</v>
      </c>
    </row>
    <row r="389" spans="1:18" x14ac:dyDescent="0.25">
      <c r="A389" s="1" t="s">
        <v>813</v>
      </c>
      <c r="B389" t="s">
        <v>814</v>
      </c>
      <c r="C389" t="s">
        <v>65</v>
      </c>
      <c r="D389" t="s">
        <v>115</v>
      </c>
      <c r="E389" s="4">
        <v>45523</v>
      </c>
      <c r="F389" s="4">
        <v>45529</v>
      </c>
      <c r="G389" s="1">
        <v>2</v>
      </c>
      <c r="H389" s="1">
        <v>3</v>
      </c>
      <c r="I389" t="s">
        <v>13</v>
      </c>
      <c r="J389" t="s">
        <v>2141</v>
      </c>
      <c r="K389" t="s">
        <v>28</v>
      </c>
      <c r="L389" s="1" t="str">
        <f t="shared" si="36"/>
        <v>2024</v>
      </c>
      <c r="M389" t="str">
        <f t="shared" si="37"/>
        <v>Aug</v>
      </c>
      <c r="N389" t="str">
        <f t="shared" si="38"/>
        <v>Mon</v>
      </c>
      <c r="O389" s="1">
        <f t="shared" si="39"/>
        <v>6</v>
      </c>
      <c r="P389" s="1">
        <f t="shared" si="40"/>
        <v>6</v>
      </c>
      <c r="Q389" s="1">
        <f>ROUND(G389*H389*VLOOKUP(D389,'Cost Product'!A$1:C$21,3,FALSE),0)</f>
        <v>3</v>
      </c>
      <c r="R389" s="1">
        <f t="shared" si="41"/>
        <v>3</v>
      </c>
    </row>
    <row r="390" spans="1:18" x14ac:dyDescent="0.25">
      <c r="A390" s="1" t="s">
        <v>815</v>
      </c>
      <c r="B390" t="s">
        <v>816</v>
      </c>
      <c r="C390" t="s">
        <v>22</v>
      </c>
      <c r="D390" t="s">
        <v>59</v>
      </c>
      <c r="E390" s="4">
        <v>45419</v>
      </c>
      <c r="F390" s="4">
        <v>45420</v>
      </c>
      <c r="G390" s="1">
        <v>2</v>
      </c>
      <c r="H390" s="1">
        <v>8.5</v>
      </c>
      <c r="I390" t="s">
        <v>13</v>
      </c>
      <c r="J390" t="s">
        <v>2145</v>
      </c>
      <c r="K390" t="s">
        <v>14</v>
      </c>
      <c r="L390" s="1" t="str">
        <f t="shared" si="36"/>
        <v>2024</v>
      </c>
      <c r="M390" t="str">
        <f t="shared" si="37"/>
        <v>May</v>
      </c>
      <c r="N390" t="str">
        <f t="shared" si="38"/>
        <v>Tue</v>
      </c>
      <c r="O390" s="1">
        <f t="shared" si="39"/>
        <v>1</v>
      </c>
      <c r="P390" s="1">
        <f t="shared" si="40"/>
        <v>17</v>
      </c>
      <c r="Q390" s="1">
        <f>ROUND(G390*H390*VLOOKUP(D390,'Cost Product'!A$1:C$21,3,FALSE),0)</f>
        <v>10</v>
      </c>
      <c r="R390" s="1">
        <f t="shared" si="41"/>
        <v>7</v>
      </c>
    </row>
    <row r="391" spans="1:18" x14ac:dyDescent="0.25">
      <c r="A391" s="1" t="s">
        <v>817</v>
      </c>
      <c r="B391" t="s">
        <v>818</v>
      </c>
      <c r="C391" t="s">
        <v>65</v>
      </c>
      <c r="D391" t="s">
        <v>120</v>
      </c>
      <c r="E391" s="4">
        <v>45129</v>
      </c>
      <c r="F391" s="4">
        <v>45132</v>
      </c>
      <c r="G391" s="1">
        <v>4</v>
      </c>
      <c r="H391" s="1">
        <v>3.75</v>
      </c>
      <c r="I391" t="s">
        <v>13</v>
      </c>
      <c r="J391" t="s">
        <v>2144</v>
      </c>
      <c r="K391" t="s">
        <v>14</v>
      </c>
      <c r="L391" s="1" t="str">
        <f t="shared" si="36"/>
        <v>2023</v>
      </c>
      <c r="M391" t="str">
        <f t="shared" si="37"/>
        <v>Jul</v>
      </c>
      <c r="N391" t="str">
        <f t="shared" si="38"/>
        <v>Sat</v>
      </c>
      <c r="O391" s="1">
        <f t="shared" si="39"/>
        <v>3</v>
      </c>
      <c r="P391" s="1">
        <f t="shared" si="40"/>
        <v>15</v>
      </c>
      <c r="Q391" s="1">
        <f>ROUND(G391*H391*VLOOKUP(D391,'Cost Product'!A$1:C$21,3,FALSE),0)</f>
        <v>8</v>
      </c>
      <c r="R391" s="1">
        <f t="shared" si="41"/>
        <v>7</v>
      </c>
    </row>
    <row r="392" spans="1:18" x14ac:dyDescent="0.25">
      <c r="A392" s="1" t="s">
        <v>819</v>
      </c>
      <c r="B392" t="s">
        <v>820</v>
      </c>
      <c r="C392" t="s">
        <v>26</v>
      </c>
      <c r="D392" t="s">
        <v>82</v>
      </c>
      <c r="E392" s="4">
        <v>45111</v>
      </c>
      <c r="F392" s="4">
        <v>45115</v>
      </c>
      <c r="G392" s="1">
        <v>4</v>
      </c>
      <c r="H392" s="1">
        <v>4.25</v>
      </c>
      <c r="I392" t="s">
        <v>40</v>
      </c>
      <c r="J392" t="s">
        <v>2144</v>
      </c>
      <c r="K392" t="s">
        <v>14</v>
      </c>
      <c r="L392" s="1" t="str">
        <f t="shared" si="36"/>
        <v>2023</v>
      </c>
      <c r="M392" t="str">
        <f t="shared" si="37"/>
        <v>Jul</v>
      </c>
      <c r="N392" t="str">
        <f t="shared" si="38"/>
        <v>Tue</v>
      </c>
      <c r="O392" s="1">
        <f t="shared" si="39"/>
        <v>4</v>
      </c>
      <c r="P392" s="1">
        <f t="shared" si="40"/>
        <v>17</v>
      </c>
      <c r="Q392" s="1">
        <f>ROUND(G392*H392*VLOOKUP(D392,'Cost Product'!A$1:C$21,3,FALSE),0)</f>
        <v>8</v>
      </c>
      <c r="R392" s="1">
        <f t="shared" si="41"/>
        <v>9</v>
      </c>
    </row>
    <row r="393" spans="1:18" x14ac:dyDescent="0.25">
      <c r="A393" s="1" t="s">
        <v>821</v>
      </c>
      <c r="B393" t="s">
        <v>822</v>
      </c>
      <c r="C393" t="s">
        <v>22</v>
      </c>
      <c r="D393" t="s">
        <v>59</v>
      </c>
      <c r="E393" s="4">
        <v>45383</v>
      </c>
      <c r="F393" s="4">
        <v>45386</v>
      </c>
      <c r="G393" s="1">
        <v>3</v>
      </c>
      <c r="H393" s="1">
        <v>8.5</v>
      </c>
      <c r="I393" t="s">
        <v>13</v>
      </c>
      <c r="J393" t="s">
        <v>2143</v>
      </c>
      <c r="K393" t="s">
        <v>14</v>
      </c>
      <c r="L393" s="1" t="str">
        <f t="shared" si="36"/>
        <v>2024</v>
      </c>
      <c r="M393" t="str">
        <f t="shared" si="37"/>
        <v>Apr</v>
      </c>
      <c r="N393" t="str">
        <f t="shared" si="38"/>
        <v>Mon</v>
      </c>
      <c r="O393" s="1">
        <f t="shared" si="39"/>
        <v>3</v>
      </c>
      <c r="P393" s="1">
        <f t="shared" si="40"/>
        <v>25.5</v>
      </c>
      <c r="Q393" s="1">
        <f>ROUND(G393*H393*VLOOKUP(D393,'Cost Product'!A$1:C$21,3,FALSE),0)</f>
        <v>15</v>
      </c>
      <c r="R393" s="1">
        <f t="shared" si="41"/>
        <v>10.5</v>
      </c>
    </row>
    <row r="394" spans="1:18" x14ac:dyDescent="0.25">
      <c r="A394" s="1" t="s">
        <v>823</v>
      </c>
      <c r="B394" t="s">
        <v>824</v>
      </c>
      <c r="C394" t="s">
        <v>22</v>
      </c>
      <c r="D394" t="s">
        <v>62</v>
      </c>
      <c r="E394" s="4">
        <v>45230</v>
      </c>
      <c r="F394" s="4">
        <v>45232</v>
      </c>
      <c r="G394" s="1">
        <v>5</v>
      </c>
      <c r="H394" s="1">
        <v>8</v>
      </c>
      <c r="I394" t="s">
        <v>13</v>
      </c>
      <c r="J394" t="s">
        <v>2141</v>
      </c>
      <c r="K394" t="s">
        <v>19</v>
      </c>
      <c r="L394" s="1" t="str">
        <f t="shared" si="36"/>
        <v>2023</v>
      </c>
      <c r="M394" t="str">
        <f t="shared" si="37"/>
        <v>Oct</v>
      </c>
      <c r="N394" t="str">
        <f t="shared" si="38"/>
        <v>Tue</v>
      </c>
      <c r="O394" s="1">
        <f t="shared" si="39"/>
        <v>2</v>
      </c>
      <c r="P394" s="1">
        <f t="shared" si="40"/>
        <v>40</v>
      </c>
      <c r="Q394" s="1">
        <f>ROUND(G394*H394*VLOOKUP(D394,'Cost Product'!A$1:C$21,3,FALSE),0)</f>
        <v>23</v>
      </c>
      <c r="R394" s="1">
        <f t="shared" si="41"/>
        <v>17</v>
      </c>
    </row>
    <row r="395" spans="1:18" x14ac:dyDescent="0.25">
      <c r="A395" s="1" t="s">
        <v>825</v>
      </c>
      <c r="B395" t="s">
        <v>826</v>
      </c>
      <c r="C395" t="s">
        <v>17</v>
      </c>
      <c r="D395" t="s">
        <v>53</v>
      </c>
      <c r="E395" s="4">
        <v>45411</v>
      </c>
      <c r="F395" s="4">
        <v>45413</v>
      </c>
      <c r="G395" s="1">
        <v>3</v>
      </c>
      <c r="H395" s="1">
        <v>4.75</v>
      </c>
      <c r="I395" t="s">
        <v>13</v>
      </c>
      <c r="J395" t="s">
        <v>2142</v>
      </c>
      <c r="K395" t="s">
        <v>19</v>
      </c>
      <c r="L395" s="1" t="str">
        <f t="shared" si="36"/>
        <v>2024</v>
      </c>
      <c r="M395" t="str">
        <f t="shared" si="37"/>
        <v>Apr</v>
      </c>
      <c r="N395" t="str">
        <f t="shared" si="38"/>
        <v>Mon</v>
      </c>
      <c r="O395" s="1">
        <f t="shared" si="39"/>
        <v>2</v>
      </c>
      <c r="P395" s="1">
        <f t="shared" si="40"/>
        <v>14.25</v>
      </c>
      <c r="Q395" s="1">
        <f>ROUND(G395*H395*VLOOKUP(D395,'Cost Product'!A$1:C$21,3,FALSE),0)</f>
        <v>8</v>
      </c>
      <c r="R395" s="1">
        <f t="shared" si="41"/>
        <v>6.25</v>
      </c>
    </row>
    <row r="396" spans="1:18" x14ac:dyDescent="0.25">
      <c r="A396" s="1" t="s">
        <v>827</v>
      </c>
      <c r="B396" t="s">
        <v>828</v>
      </c>
      <c r="C396" t="s">
        <v>17</v>
      </c>
      <c r="D396" t="s">
        <v>79</v>
      </c>
      <c r="E396" s="4">
        <v>45555</v>
      </c>
      <c r="F396" s="4">
        <v>45556</v>
      </c>
      <c r="G396" s="1">
        <v>1</v>
      </c>
      <c r="H396" s="1">
        <v>5</v>
      </c>
      <c r="I396" t="s">
        <v>13</v>
      </c>
      <c r="J396" t="s">
        <v>2142</v>
      </c>
      <c r="K396" t="s">
        <v>28</v>
      </c>
      <c r="L396" s="1" t="str">
        <f t="shared" si="36"/>
        <v>2024</v>
      </c>
      <c r="M396" t="str">
        <f t="shared" si="37"/>
        <v>Sep</v>
      </c>
      <c r="N396" t="str">
        <f t="shared" si="38"/>
        <v>Fri</v>
      </c>
      <c r="O396" s="1">
        <f t="shared" si="39"/>
        <v>1</v>
      </c>
      <c r="P396" s="1">
        <f t="shared" si="40"/>
        <v>5</v>
      </c>
      <c r="Q396" s="1">
        <f>ROUND(G396*H396*VLOOKUP(D396,'Cost Product'!A$1:C$21,3,FALSE),0)</f>
        <v>3</v>
      </c>
      <c r="R396" s="1">
        <f t="shared" si="41"/>
        <v>2</v>
      </c>
    </row>
    <row r="397" spans="1:18" x14ac:dyDescent="0.25">
      <c r="A397" s="1" t="s">
        <v>829</v>
      </c>
      <c r="B397" t="s">
        <v>830</v>
      </c>
      <c r="C397" t="s">
        <v>22</v>
      </c>
      <c r="D397" t="s">
        <v>59</v>
      </c>
      <c r="E397" s="4">
        <v>45539</v>
      </c>
      <c r="F397" s="4">
        <v>45541</v>
      </c>
      <c r="G397" s="1">
        <v>3</v>
      </c>
      <c r="H397" s="1">
        <v>8.5</v>
      </c>
      <c r="I397" t="s">
        <v>40</v>
      </c>
      <c r="J397" t="s">
        <v>2145</v>
      </c>
      <c r="K397" t="s">
        <v>19</v>
      </c>
      <c r="L397" s="1" t="str">
        <f t="shared" si="36"/>
        <v>2024</v>
      </c>
      <c r="M397" t="str">
        <f t="shared" si="37"/>
        <v>Sep</v>
      </c>
      <c r="N397" t="str">
        <f t="shared" si="38"/>
        <v>Wed</v>
      </c>
      <c r="O397" s="1">
        <f t="shared" si="39"/>
        <v>2</v>
      </c>
      <c r="P397" s="1">
        <f t="shared" si="40"/>
        <v>25.5</v>
      </c>
      <c r="Q397" s="1">
        <f>ROUND(G397*H397*VLOOKUP(D397,'Cost Product'!A$1:C$21,3,FALSE),0)</f>
        <v>15</v>
      </c>
      <c r="R397" s="1">
        <f t="shared" si="41"/>
        <v>10.5</v>
      </c>
    </row>
    <row r="398" spans="1:18" x14ac:dyDescent="0.25">
      <c r="A398" s="1" t="s">
        <v>831</v>
      </c>
      <c r="B398" t="s">
        <v>832</v>
      </c>
      <c r="C398" t="s">
        <v>11</v>
      </c>
      <c r="D398" t="s">
        <v>12</v>
      </c>
      <c r="E398" s="4">
        <v>45185</v>
      </c>
      <c r="F398" s="4">
        <v>45186</v>
      </c>
      <c r="G398" s="1">
        <v>4</v>
      </c>
      <c r="H398" s="1">
        <v>6.5</v>
      </c>
      <c r="I398" t="s">
        <v>40</v>
      </c>
      <c r="J398" t="s">
        <v>2142</v>
      </c>
      <c r="K398" t="s">
        <v>28</v>
      </c>
      <c r="L398" s="1" t="str">
        <f t="shared" si="36"/>
        <v>2023</v>
      </c>
      <c r="M398" t="str">
        <f t="shared" si="37"/>
        <v>Sep</v>
      </c>
      <c r="N398" t="str">
        <f t="shared" si="38"/>
        <v>Sat</v>
      </c>
      <c r="O398" s="1">
        <f t="shared" si="39"/>
        <v>1</v>
      </c>
      <c r="P398" s="1">
        <f t="shared" si="40"/>
        <v>26</v>
      </c>
      <c r="Q398" s="1">
        <f>ROUND(G398*H398*VLOOKUP(D398,'Cost Product'!A$1:C$21,3,FALSE),0)</f>
        <v>15</v>
      </c>
      <c r="R398" s="1">
        <f t="shared" si="41"/>
        <v>11</v>
      </c>
    </row>
    <row r="399" spans="1:18" x14ac:dyDescent="0.25">
      <c r="A399" s="1" t="s">
        <v>833</v>
      </c>
      <c r="B399" t="s">
        <v>834</v>
      </c>
      <c r="C399" t="s">
        <v>17</v>
      </c>
      <c r="D399" t="s">
        <v>79</v>
      </c>
      <c r="E399" s="4">
        <v>45135</v>
      </c>
      <c r="F399" s="4">
        <v>45137</v>
      </c>
      <c r="G399" s="1">
        <v>1</v>
      </c>
      <c r="H399" s="1">
        <v>5</v>
      </c>
      <c r="I399" t="s">
        <v>13</v>
      </c>
      <c r="J399" t="s">
        <v>2144</v>
      </c>
      <c r="K399" t="s">
        <v>28</v>
      </c>
      <c r="L399" s="1" t="str">
        <f t="shared" si="36"/>
        <v>2023</v>
      </c>
      <c r="M399" t="str">
        <f t="shared" si="37"/>
        <v>Jul</v>
      </c>
      <c r="N399" t="str">
        <f t="shared" si="38"/>
        <v>Fri</v>
      </c>
      <c r="O399" s="1">
        <f t="shared" si="39"/>
        <v>2</v>
      </c>
      <c r="P399" s="1">
        <f t="shared" si="40"/>
        <v>5</v>
      </c>
      <c r="Q399" s="1">
        <f>ROUND(G399*H399*VLOOKUP(D399,'Cost Product'!A$1:C$21,3,FALSE),0)</f>
        <v>3</v>
      </c>
      <c r="R399" s="1">
        <f t="shared" si="41"/>
        <v>2</v>
      </c>
    </row>
    <row r="400" spans="1:18" x14ac:dyDescent="0.25">
      <c r="A400" s="1" t="s">
        <v>835</v>
      </c>
      <c r="B400" t="s">
        <v>836</v>
      </c>
      <c r="C400" t="s">
        <v>26</v>
      </c>
      <c r="D400" t="s">
        <v>104</v>
      </c>
      <c r="E400" s="4">
        <v>45458</v>
      </c>
      <c r="F400" s="4">
        <v>45461</v>
      </c>
      <c r="G400" s="1">
        <v>1</v>
      </c>
      <c r="H400" s="1">
        <v>4.5</v>
      </c>
      <c r="I400" t="s">
        <v>13</v>
      </c>
      <c r="J400" t="s">
        <v>2144</v>
      </c>
      <c r="K400" t="s">
        <v>28</v>
      </c>
      <c r="L400" s="1" t="str">
        <f t="shared" si="36"/>
        <v>2024</v>
      </c>
      <c r="M400" t="str">
        <f t="shared" si="37"/>
        <v>Jun</v>
      </c>
      <c r="N400" t="str">
        <f t="shared" si="38"/>
        <v>Sat</v>
      </c>
      <c r="O400" s="1">
        <f t="shared" si="39"/>
        <v>3</v>
      </c>
      <c r="P400" s="1">
        <f t="shared" si="40"/>
        <v>4.5</v>
      </c>
      <c r="Q400" s="1">
        <f>ROUND(G400*H400*VLOOKUP(D400,'Cost Product'!A$1:C$21,3,FALSE),0)</f>
        <v>2</v>
      </c>
      <c r="R400" s="1">
        <f t="shared" si="41"/>
        <v>2.5</v>
      </c>
    </row>
    <row r="401" spans="1:18" x14ac:dyDescent="0.25">
      <c r="A401" s="1" t="s">
        <v>837</v>
      </c>
      <c r="B401" t="s">
        <v>838</v>
      </c>
      <c r="C401" t="s">
        <v>26</v>
      </c>
      <c r="D401" t="s">
        <v>45</v>
      </c>
      <c r="E401" s="4">
        <v>45594</v>
      </c>
      <c r="F401" s="4">
        <v>45601</v>
      </c>
      <c r="G401" s="1">
        <v>3</v>
      </c>
      <c r="H401" s="1">
        <v>4.5</v>
      </c>
      <c r="I401" t="s">
        <v>13</v>
      </c>
      <c r="J401" t="s">
        <v>2142</v>
      </c>
      <c r="K401" t="s">
        <v>28</v>
      </c>
      <c r="L401" s="1" t="str">
        <f t="shared" si="36"/>
        <v>2024</v>
      </c>
      <c r="M401" t="str">
        <f t="shared" si="37"/>
        <v>Oct</v>
      </c>
      <c r="N401" t="str">
        <f t="shared" si="38"/>
        <v>Tue</v>
      </c>
      <c r="O401" s="1">
        <f t="shared" si="39"/>
        <v>7</v>
      </c>
      <c r="P401" s="1">
        <f t="shared" si="40"/>
        <v>13.5</v>
      </c>
      <c r="Q401" s="1">
        <f>ROUND(G401*H401*VLOOKUP(D401,'Cost Product'!A$1:C$21,3,FALSE),0)</f>
        <v>7</v>
      </c>
      <c r="R401" s="1">
        <f t="shared" si="41"/>
        <v>6.5</v>
      </c>
    </row>
    <row r="402" spans="1:18" x14ac:dyDescent="0.25">
      <c r="A402" s="1" t="s">
        <v>839</v>
      </c>
      <c r="B402" t="s">
        <v>840</v>
      </c>
      <c r="C402" t="s">
        <v>26</v>
      </c>
      <c r="D402" t="s">
        <v>45</v>
      </c>
      <c r="E402" s="4">
        <v>45370</v>
      </c>
      <c r="F402" s="4">
        <v>45379</v>
      </c>
      <c r="G402" s="1">
        <v>4</v>
      </c>
      <c r="H402" s="1">
        <v>4.5</v>
      </c>
      <c r="I402" t="s">
        <v>13</v>
      </c>
      <c r="J402" t="s">
        <v>2141</v>
      </c>
      <c r="K402" t="s">
        <v>14</v>
      </c>
      <c r="L402" s="1" t="str">
        <f t="shared" si="36"/>
        <v>2024</v>
      </c>
      <c r="M402" t="str">
        <f t="shared" si="37"/>
        <v>Mar</v>
      </c>
      <c r="N402" t="str">
        <f t="shared" si="38"/>
        <v>Tue</v>
      </c>
      <c r="O402" s="1">
        <f t="shared" si="39"/>
        <v>9</v>
      </c>
      <c r="P402" s="1">
        <f t="shared" si="40"/>
        <v>18</v>
      </c>
      <c r="Q402" s="1">
        <f>ROUND(G402*H402*VLOOKUP(D402,'Cost Product'!A$1:C$21,3,FALSE),0)</f>
        <v>9</v>
      </c>
      <c r="R402" s="1">
        <f t="shared" si="41"/>
        <v>9</v>
      </c>
    </row>
    <row r="403" spans="1:18" x14ac:dyDescent="0.25">
      <c r="A403" s="1" t="s">
        <v>841</v>
      </c>
      <c r="B403" t="s">
        <v>842</v>
      </c>
      <c r="C403" t="s">
        <v>22</v>
      </c>
      <c r="D403" t="s">
        <v>23</v>
      </c>
      <c r="E403" s="4">
        <v>45408</v>
      </c>
      <c r="F403" s="4">
        <v>45413</v>
      </c>
      <c r="G403" s="1">
        <v>2</v>
      </c>
      <c r="H403" s="1">
        <v>10</v>
      </c>
      <c r="I403" t="s">
        <v>40</v>
      </c>
      <c r="J403" t="s">
        <v>2146</v>
      </c>
      <c r="K403" t="s">
        <v>28</v>
      </c>
      <c r="L403" s="1" t="str">
        <f t="shared" si="36"/>
        <v>2024</v>
      </c>
      <c r="M403" t="str">
        <f t="shared" si="37"/>
        <v>Apr</v>
      </c>
      <c r="N403" t="str">
        <f t="shared" si="38"/>
        <v>Fri</v>
      </c>
      <c r="O403" s="1">
        <f t="shared" si="39"/>
        <v>5</v>
      </c>
      <c r="P403" s="1">
        <f t="shared" si="40"/>
        <v>20</v>
      </c>
      <c r="Q403" s="1">
        <f>ROUND(G403*H403*VLOOKUP(D403,'Cost Product'!A$1:C$21,3,FALSE),0)</f>
        <v>13</v>
      </c>
      <c r="R403" s="1">
        <f t="shared" si="41"/>
        <v>7</v>
      </c>
    </row>
    <row r="404" spans="1:18" x14ac:dyDescent="0.25">
      <c r="A404" s="1" t="s">
        <v>843</v>
      </c>
      <c r="B404" t="s">
        <v>844</v>
      </c>
      <c r="C404" t="s">
        <v>22</v>
      </c>
      <c r="D404" t="s">
        <v>62</v>
      </c>
      <c r="E404" s="4">
        <v>45439</v>
      </c>
      <c r="F404" s="4">
        <v>45441</v>
      </c>
      <c r="G404" s="1">
        <v>2</v>
      </c>
      <c r="H404" s="1">
        <v>8</v>
      </c>
      <c r="I404" t="s">
        <v>13</v>
      </c>
      <c r="J404" t="s">
        <v>2146</v>
      </c>
      <c r="K404" t="s">
        <v>19</v>
      </c>
      <c r="L404" s="1" t="str">
        <f t="shared" si="36"/>
        <v>2024</v>
      </c>
      <c r="M404" t="str">
        <f t="shared" si="37"/>
        <v>May</v>
      </c>
      <c r="N404" t="str">
        <f t="shared" si="38"/>
        <v>Mon</v>
      </c>
      <c r="O404" s="1">
        <f t="shared" si="39"/>
        <v>2</v>
      </c>
      <c r="P404" s="1">
        <f t="shared" si="40"/>
        <v>16</v>
      </c>
      <c r="Q404" s="1">
        <f>ROUND(G404*H404*VLOOKUP(D404,'Cost Product'!A$1:C$21,3,FALSE),0)</f>
        <v>9</v>
      </c>
      <c r="R404" s="1">
        <f t="shared" si="41"/>
        <v>7</v>
      </c>
    </row>
    <row r="405" spans="1:18" x14ac:dyDescent="0.25">
      <c r="A405" s="1" t="s">
        <v>845</v>
      </c>
      <c r="B405" t="s">
        <v>846</v>
      </c>
      <c r="C405" t="s">
        <v>26</v>
      </c>
      <c r="D405" t="s">
        <v>104</v>
      </c>
      <c r="E405" s="4">
        <v>45511</v>
      </c>
      <c r="F405" s="4">
        <v>45520</v>
      </c>
      <c r="G405" s="1">
        <v>2</v>
      </c>
      <c r="H405" s="1">
        <v>4.5</v>
      </c>
      <c r="I405" t="s">
        <v>40</v>
      </c>
      <c r="J405" t="s">
        <v>2145</v>
      </c>
      <c r="K405" t="s">
        <v>19</v>
      </c>
      <c r="L405" s="1" t="str">
        <f t="shared" si="36"/>
        <v>2024</v>
      </c>
      <c r="M405" t="str">
        <f t="shared" si="37"/>
        <v>Aug</v>
      </c>
      <c r="N405" t="str">
        <f t="shared" si="38"/>
        <v>Wed</v>
      </c>
      <c r="O405" s="1">
        <f t="shared" si="39"/>
        <v>9</v>
      </c>
      <c r="P405" s="1">
        <f t="shared" si="40"/>
        <v>9</v>
      </c>
      <c r="Q405" s="1">
        <f>ROUND(G405*H405*VLOOKUP(D405,'Cost Product'!A$1:C$21,3,FALSE),0)</f>
        <v>5</v>
      </c>
      <c r="R405" s="1">
        <f t="shared" si="41"/>
        <v>4</v>
      </c>
    </row>
    <row r="406" spans="1:18" x14ac:dyDescent="0.25">
      <c r="A406" s="1" t="s">
        <v>847</v>
      </c>
      <c r="B406" t="s">
        <v>848</v>
      </c>
      <c r="C406" t="s">
        <v>65</v>
      </c>
      <c r="D406" t="s">
        <v>120</v>
      </c>
      <c r="E406" s="4">
        <v>45344</v>
      </c>
      <c r="F406" s="4">
        <v>45346</v>
      </c>
      <c r="G406" s="1">
        <v>5</v>
      </c>
      <c r="H406" s="1">
        <v>3.75</v>
      </c>
      <c r="I406" t="s">
        <v>13</v>
      </c>
      <c r="J406" t="s">
        <v>2141</v>
      </c>
      <c r="K406" t="s">
        <v>19</v>
      </c>
      <c r="L406" s="1" t="str">
        <f t="shared" si="36"/>
        <v>2024</v>
      </c>
      <c r="M406" t="str">
        <f t="shared" si="37"/>
        <v>Feb</v>
      </c>
      <c r="N406" t="str">
        <f t="shared" si="38"/>
        <v>Thu</v>
      </c>
      <c r="O406" s="1">
        <f t="shared" si="39"/>
        <v>2</v>
      </c>
      <c r="P406" s="1">
        <f t="shared" si="40"/>
        <v>18.75</v>
      </c>
      <c r="Q406" s="1">
        <f>ROUND(G406*H406*VLOOKUP(D406,'Cost Product'!A$1:C$21,3,FALSE),0)</f>
        <v>9</v>
      </c>
      <c r="R406" s="1">
        <f t="shared" si="41"/>
        <v>9.75</v>
      </c>
    </row>
    <row r="407" spans="1:18" x14ac:dyDescent="0.25">
      <c r="A407" s="1" t="s">
        <v>849</v>
      </c>
      <c r="B407" t="s">
        <v>850</v>
      </c>
      <c r="C407" t="s">
        <v>11</v>
      </c>
      <c r="D407" t="s">
        <v>31</v>
      </c>
      <c r="E407" s="4">
        <v>45553</v>
      </c>
      <c r="F407" s="4">
        <v>45555</v>
      </c>
      <c r="G407" s="1">
        <v>2</v>
      </c>
      <c r="H407" s="1">
        <v>5.5</v>
      </c>
      <c r="I407" t="s">
        <v>40</v>
      </c>
      <c r="J407" t="s">
        <v>2141</v>
      </c>
      <c r="K407" t="s">
        <v>28</v>
      </c>
      <c r="L407" s="1" t="str">
        <f t="shared" si="36"/>
        <v>2024</v>
      </c>
      <c r="M407" t="str">
        <f t="shared" si="37"/>
        <v>Sep</v>
      </c>
      <c r="N407" t="str">
        <f t="shared" si="38"/>
        <v>Wed</v>
      </c>
      <c r="O407" s="1">
        <f t="shared" si="39"/>
        <v>2</v>
      </c>
      <c r="P407" s="1">
        <f t="shared" si="40"/>
        <v>11</v>
      </c>
      <c r="Q407" s="1">
        <f>ROUND(G407*H407*VLOOKUP(D407,'Cost Product'!A$1:C$21,3,FALSE),0)</f>
        <v>6</v>
      </c>
      <c r="R407" s="1">
        <f t="shared" si="41"/>
        <v>5</v>
      </c>
    </row>
    <row r="408" spans="1:18" x14ac:dyDescent="0.25">
      <c r="A408" s="1" t="s">
        <v>851</v>
      </c>
      <c r="B408" t="s">
        <v>852</v>
      </c>
      <c r="C408" t="s">
        <v>65</v>
      </c>
      <c r="D408" t="s">
        <v>66</v>
      </c>
      <c r="E408" s="4">
        <v>45488</v>
      </c>
      <c r="F408" s="4">
        <v>45489</v>
      </c>
      <c r="G408" s="1">
        <v>1</v>
      </c>
      <c r="H408" s="1">
        <v>3.5</v>
      </c>
      <c r="I408" t="s">
        <v>13</v>
      </c>
      <c r="J408" t="s">
        <v>2144</v>
      </c>
      <c r="K408" t="s">
        <v>28</v>
      </c>
      <c r="L408" s="1" t="str">
        <f t="shared" si="36"/>
        <v>2024</v>
      </c>
      <c r="M408" t="str">
        <f t="shared" si="37"/>
        <v>Jul</v>
      </c>
      <c r="N408" t="str">
        <f t="shared" si="38"/>
        <v>Mon</v>
      </c>
      <c r="O408" s="1">
        <f t="shared" si="39"/>
        <v>1</v>
      </c>
      <c r="P408" s="1">
        <f t="shared" si="40"/>
        <v>3.5</v>
      </c>
      <c r="Q408" s="1">
        <f>ROUND(G408*H408*VLOOKUP(D408,'Cost Product'!A$1:C$21,3,FALSE),0)</f>
        <v>2</v>
      </c>
      <c r="R408" s="1">
        <f t="shared" si="41"/>
        <v>1.5</v>
      </c>
    </row>
    <row r="409" spans="1:18" x14ac:dyDescent="0.25">
      <c r="A409" s="1" t="s">
        <v>853</v>
      </c>
      <c r="B409" t="s">
        <v>854</v>
      </c>
      <c r="C409" t="s">
        <v>11</v>
      </c>
      <c r="D409" t="s">
        <v>12</v>
      </c>
      <c r="E409" s="4">
        <v>45335</v>
      </c>
      <c r="F409" s="4">
        <v>45336</v>
      </c>
      <c r="G409" s="1">
        <v>3</v>
      </c>
      <c r="H409" s="1">
        <v>6.5</v>
      </c>
      <c r="I409" t="s">
        <v>40</v>
      </c>
      <c r="J409" t="s">
        <v>2141</v>
      </c>
      <c r="K409" t="s">
        <v>28</v>
      </c>
      <c r="L409" s="1" t="str">
        <f t="shared" si="36"/>
        <v>2024</v>
      </c>
      <c r="M409" t="str">
        <f t="shared" si="37"/>
        <v>Feb</v>
      </c>
      <c r="N409" t="str">
        <f t="shared" si="38"/>
        <v>Tue</v>
      </c>
      <c r="O409" s="1">
        <f t="shared" si="39"/>
        <v>1</v>
      </c>
      <c r="P409" s="1">
        <f t="shared" si="40"/>
        <v>19.5</v>
      </c>
      <c r="Q409" s="1">
        <f>ROUND(G409*H409*VLOOKUP(D409,'Cost Product'!A$1:C$21,3,FALSE),0)</f>
        <v>11</v>
      </c>
      <c r="R409" s="1">
        <f t="shared" si="41"/>
        <v>8.5</v>
      </c>
    </row>
    <row r="410" spans="1:18" x14ac:dyDescent="0.25">
      <c r="A410" s="1" t="s">
        <v>855</v>
      </c>
      <c r="B410" t="s">
        <v>856</v>
      </c>
      <c r="C410" t="s">
        <v>22</v>
      </c>
      <c r="D410" t="s">
        <v>59</v>
      </c>
      <c r="E410" s="4">
        <v>45126</v>
      </c>
      <c r="F410" s="4">
        <v>45127</v>
      </c>
      <c r="G410" s="1">
        <v>4</v>
      </c>
      <c r="H410" s="1">
        <v>8.5</v>
      </c>
      <c r="I410" t="s">
        <v>13</v>
      </c>
      <c r="J410" t="s">
        <v>2141</v>
      </c>
      <c r="K410" t="s">
        <v>19</v>
      </c>
      <c r="L410" s="1" t="str">
        <f t="shared" si="36"/>
        <v>2023</v>
      </c>
      <c r="M410" t="str">
        <f t="shared" si="37"/>
        <v>Jul</v>
      </c>
      <c r="N410" t="str">
        <f t="shared" si="38"/>
        <v>Wed</v>
      </c>
      <c r="O410" s="1">
        <f t="shared" si="39"/>
        <v>1</v>
      </c>
      <c r="P410" s="1">
        <f t="shared" si="40"/>
        <v>34</v>
      </c>
      <c r="Q410" s="1">
        <f>ROUND(G410*H410*VLOOKUP(D410,'Cost Product'!A$1:C$21,3,FALSE),0)</f>
        <v>20</v>
      </c>
      <c r="R410" s="1">
        <f t="shared" si="41"/>
        <v>14</v>
      </c>
    </row>
    <row r="411" spans="1:18" x14ac:dyDescent="0.25">
      <c r="A411" s="1" t="s">
        <v>857</v>
      </c>
      <c r="B411" t="s">
        <v>858</v>
      </c>
      <c r="C411" t="s">
        <v>22</v>
      </c>
      <c r="D411" t="s">
        <v>56</v>
      </c>
      <c r="E411" s="4">
        <v>45180</v>
      </c>
      <c r="F411" s="4">
        <v>45183</v>
      </c>
      <c r="G411" s="1">
        <v>5</v>
      </c>
      <c r="H411" s="1">
        <v>8.75</v>
      </c>
      <c r="I411" t="s">
        <v>13</v>
      </c>
      <c r="J411" t="s">
        <v>2142</v>
      </c>
      <c r="K411" t="s">
        <v>14</v>
      </c>
      <c r="L411" s="1" t="str">
        <f t="shared" si="36"/>
        <v>2023</v>
      </c>
      <c r="M411" t="str">
        <f t="shared" si="37"/>
        <v>Sep</v>
      </c>
      <c r="N411" t="str">
        <f t="shared" si="38"/>
        <v>Mon</v>
      </c>
      <c r="O411" s="1">
        <f t="shared" si="39"/>
        <v>3</v>
      </c>
      <c r="P411" s="1">
        <f t="shared" si="40"/>
        <v>43.75</v>
      </c>
      <c r="Q411" s="1">
        <f>ROUND(G411*H411*VLOOKUP(D411,'Cost Product'!A$1:C$21,3,FALSE),0)</f>
        <v>25</v>
      </c>
      <c r="R411" s="1">
        <f t="shared" si="41"/>
        <v>18.75</v>
      </c>
    </row>
    <row r="412" spans="1:18" x14ac:dyDescent="0.25">
      <c r="A412" s="1" t="s">
        <v>859</v>
      </c>
      <c r="B412" t="s">
        <v>860</v>
      </c>
      <c r="C412" t="s">
        <v>65</v>
      </c>
      <c r="D412" t="s">
        <v>120</v>
      </c>
      <c r="E412" s="4">
        <v>45334</v>
      </c>
      <c r="F412" s="4">
        <v>45337</v>
      </c>
      <c r="G412" s="1">
        <v>3</v>
      </c>
      <c r="H412" s="1">
        <v>3.75</v>
      </c>
      <c r="I412" t="s">
        <v>13</v>
      </c>
      <c r="J412" t="s">
        <v>2141</v>
      </c>
      <c r="K412" t="s">
        <v>28</v>
      </c>
      <c r="L412" s="1" t="str">
        <f t="shared" si="36"/>
        <v>2024</v>
      </c>
      <c r="M412" t="str">
        <f t="shared" si="37"/>
        <v>Feb</v>
      </c>
      <c r="N412" t="str">
        <f t="shared" si="38"/>
        <v>Mon</v>
      </c>
      <c r="O412" s="1">
        <f t="shared" si="39"/>
        <v>3</v>
      </c>
      <c r="P412" s="1">
        <f t="shared" si="40"/>
        <v>11.25</v>
      </c>
      <c r="Q412" s="1">
        <f>ROUND(G412*H412*VLOOKUP(D412,'Cost Product'!A$1:C$21,3,FALSE),0)</f>
        <v>6</v>
      </c>
      <c r="R412" s="1">
        <f t="shared" si="41"/>
        <v>5.25</v>
      </c>
    </row>
    <row r="413" spans="1:18" x14ac:dyDescent="0.25">
      <c r="A413" s="1" t="s">
        <v>861</v>
      </c>
      <c r="B413" t="s">
        <v>862</v>
      </c>
      <c r="C413" t="s">
        <v>17</v>
      </c>
      <c r="D413" t="s">
        <v>18</v>
      </c>
      <c r="E413" s="4">
        <v>45479</v>
      </c>
      <c r="F413" s="4">
        <v>45482</v>
      </c>
      <c r="G413" s="1">
        <v>5</v>
      </c>
      <c r="H413" s="1">
        <v>5.5</v>
      </c>
      <c r="I413" t="s">
        <v>13</v>
      </c>
      <c r="J413" t="s">
        <v>2142</v>
      </c>
      <c r="K413" t="s">
        <v>28</v>
      </c>
      <c r="L413" s="1" t="str">
        <f t="shared" si="36"/>
        <v>2024</v>
      </c>
      <c r="M413" t="str">
        <f t="shared" si="37"/>
        <v>Jul</v>
      </c>
      <c r="N413" t="str">
        <f t="shared" si="38"/>
        <v>Sat</v>
      </c>
      <c r="O413" s="1">
        <f t="shared" si="39"/>
        <v>3</v>
      </c>
      <c r="P413" s="1">
        <f t="shared" si="40"/>
        <v>27.5</v>
      </c>
      <c r="Q413" s="1">
        <f>ROUND(G413*H413*VLOOKUP(D413,'Cost Product'!A$1:C$21,3,FALSE),0)</f>
        <v>17</v>
      </c>
      <c r="R413" s="1">
        <f t="shared" si="41"/>
        <v>10.5</v>
      </c>
    </row>
    <row r="414" spans="1:18" x14ac:dyDescent="0.25">
      <c r="A414" s="1" t="s">
        <v>863</v>
      </c>
      <c r="B414" t="s">
        <v>864</v>
      </c>
      <c r="C414" t="s">
        <v>65</v>
      </c>
      <c r="D414" t="s">
        <v>66</v>
      </c>
      <c r="E414" s="4">
        <v>45467</v>
      </c>
      <c r="F414" s="4">
        <v>45470</v>
      </c>
      <c r="G414" s="1">
        <v>4</v>
      </c>
      <c r="H414" s="1">
        <v>3.5</v>
      </c>
      <c r="I414" t="s">
        <v>13</v>
      </c>
      <c r="J414" t="s">
        <v>2143</v>
      </c>
      <c r="K414" t="s">
        <v>19</v>
      </c>
      <c r="L414" s="1" t="str">
        <f t="shared" si="36"/>
        <v>2024</v>
      </c>
      <c r="M414" t="str">
        <f t="shared" si="37"/>
        <v>Jun</v>
      </c>
      <c r="N414" t="str">
        <f t="shared" si="38"/>
        <v>Mon</v>
      </c>
      <c r="O414" s="1">
        <f t="shared" si="39"/>
        <v>3</v>
      </c>
      <c r="P414" s="1">
        <f t="shared" si="40"/>
        <v>14</v>
      </c>
      <c r="Q414" s="1">
        <f>ROUND(G414*H414*VLOOKUP(D414,'Cost Product'!A$1:C$21,3,FALSE),0)</f>
        <v>7</v>
      </c>
      <c r="R414" s="1">
        <f t="shared" si="41"/>
        <v>7</v>
      </c>
    </row>
    <row r="415" spans="1:18" x14ac:dyDescent="0.25">
      <c r="A415" s="1" t="s">
        <v>865</v>
      </c>
      <c r="B415" t="s">
        <v>866</v>
      </c>
      <c r="C415" t="s">
        <v>65</v>
      </c>
      <c r="D415" t="s">
        <v>120</v>
      </c>
      <c r="E415" s="4">
        <v>45213</v>
      </c>
      <c r="F415" s="4">
        <v>45221</v>
      </c>
      <c r="G415" s="1">
        <v>2</v>
      </c>
      <c r="H415" s="1">
        <v>3.75</v>
      </c>
      <c r="I415" t="s">
        <v>40</v>
      </c>
      <c r="J415" t="s">
        <v>2142</v>
      </c>
      <c r="K415" t="s">
        <v>28</v>
      </c>
      <c r="L415" s="1" t="str">
        <f t="shared" si="36"/>
        <v>2023</v>
      </c>
      <c r="M415" t="str">
        <f t="shared" si="37"/>
        <v>Oct</v>
      </c>
      <c r="N415" t="str">
        <f t="shared" si="38"/>
        <v>Sat</v>
      </c>
      <c r="O415" s="1">
        <f t="shared" si="39"/>
        <v>8</v>
      </c>
      <c r="P415" s="1">
        <f t="shared" si="40"/>
        <v>7.5</v>
      </c>
      <c r="Q415" s="1">
        <f>ROUND(G415*H415*VLOOKUP(D415,'Cost Product'!A$1:C$21,3,FALSE),0)</f>
        <v>4</v>
      </c>
      <c r="R415" s="1">
        <f t="shared" si="41"/>
        <v>3.5</v>
      </c>
    </row>
    <row r="416" spans="1:18" x14ac:dyDescent="0.25">
      <c r="A416" s="1" t="s">
        <v>867</v>
      </c>
      <c r="B416" t="s">
        <v>868</v>
      </c>
      <c r="C416" t="s">
        <v>22</v>
      </c>
      <c r="D416" t="s">
        <v>59</v>
      </c>
      <c r="E416" s="4">
        <v>45268</v>
      </c>
      <c r="F416" s="4">
        <v>45274</v>
      </c>
      <c r="G416" s="1">
        <v>5</v>
      </c>
      <c r="H416" s="1">
        <v>8.5</v>
      </c>
      <c r="I416" t="s">
        <v>40</v>
      </c>
      <c r="J416" t="s">
        <v>2144</v>
      </c>
      <c r="K416" t="s">
        <v>28</v>
      </c>
      <c r="L416" s="1" t="str">
        <f t="shared" si="36"/>
        <v>2023</v>
      </c>
      <c r="M416" t="str">
        <f t="shared" si="37"/>
        <v>Dec</v>
      </c>
      <c r="N416" t="str">
        <f t="shared" si="38"/>
        <v>Fri</v>
      </c>
      <c r="O416" s="1">
        <f t="shared" si="39"/>
        <v>6</v>
      </c>
      <c r="P416" s="1">
        <f t="shared" si="40"/>
        <v>42.5</v>
      </c>
      <c r="Q416" s="1">
        <f>ROUND(G416*H416*VLOOKUP(D416,'Cost Product'!A$1:C$21,3,FALSE),0)</f>
        <v>26</v>
      </c>
      <c r="R416" s="1">
        <f t="shared" si="41"/>
        <v>16.5</v>
      </c>
    </row>
    <row r="417" spans="1:18" x14ac:dyDescent="0.25">
      <c r="A417" s="1" t="s">
        <v>869</v>
      </c>
      <c r="B417" t="s">
        <v>870</v>
      </c>
      <c r="C417" t="s">
        <v>22</v>
      </c>
      <c r="D417" t="s">
        <v>59</v>
      </c>
      <c r="E417" s="4">
        <v>45476</v>
      </c>
      <c r="F417" s="4">
        <v>45480</v>
      </c>
      <c r="G417" s="1">
        <v>2</v>
      </c>
      <c r="H417" s="1">
        <v>8.5</v>
      </c>
      <c r="I417" t="s">
        <v>13</v>
      </c>
      <c r="J417" t="s">
        <v>2141</v>
      </c>
      <c r="K417" t="s">
        <v>14</v>
      </c>
      <c r="L417" s="1" t="str">
        <f t="shared" si="36"/>
        <v>2024</v>
      </c>
      <c r="M417" t="str">
        <f t="shared" si="37"/>
        <v>Jul</v>
      </c>
      <c r="N417" t="str">
        <f t="shared" si="38"/>
        <v>Wed</v>
      </c>
      <c r="O417" s="1">
        <f t="shared" si="39"/>
        <v>4</v>
      </c>
      <c r="P417" s="1">
        <f t="shared" si="40"/>
        <v>17</v>
      </c>
      <c r="Q417" s="1">
        <f>ROUND(G417*H417*VLOOKUP(D417,'Cost Product'!A$1:C$21,3,FALSE),0)</f>
        <v>10</v>
      </c>
      <c r="R417" s="1">
        <f t="shared" si="41"/>
        <v>7</v>
      </c>
    </row>
    <row r="418" spans="1:18" x14ac:dyDescent="0.25">
      <c r="A418" s="1" t="s">
        <v>871</v>
      </c>
      <c r="B418" t="s">
        <v>872</v>
      </c>
      <c r="C418" t="s">
        <v>65</v>
      </c>
      <c r="D418" t="s">
        <v>66</v>
      </c>
      <c r="E418" s="4">
        <v>45487</v>
      </c>
      <c r="F418" s="4">
        <v>45489</v>
      </c>
      <c r="G418" s="1">
        <v>2</v>
      </c>
      <c r="H418" s="1">
        <v>3.5</v>
      </c>
      <c r="I418" t="s">
        <v>40</v>
      </c>
      <c r="J418" t="s">
        <v>2141</v>
      </c>
      <c r="K418" t="s">
        <v>28</v>
      </c>
      <c r="L418" s="1" t="str">
        <f t="shared" si="36"/>
        <v>2024</v>
      </c>
      <c r="M418" t="str">
        <f t="shared" si="37"/>
        <v>Jul</v>
      </c>
      <c r="N418" t="str">
        <f t="shared" si="38"/>
        <v>Sun</v>
      </c>
      <c r="O418" s="1">
        <f t="shared" si="39"/>
        <v>2</v>
      </c>
      <c r="P418" s="1">
        <f t="shared" si="40"/>
        <v>7</v>
      </c>
      <c r="Q418" s="1">
        <f>ROUND(G418*H418*VLOOKUP(D418,'Cost Product'!A$1:C$21,3,FALSE),0)</f>
        <v>3</v>
      </c>
      <c r="R418" s="1">
        <f t="shared" si="41"/>
        <v>4</v>
      </c>
    </row>
    <row r="419" spans="1:18" x14ac:dyDescent="0.25">
      <c r="A419" s="1" t="s">
        <v>873</v>
      </c>
      <c r="B419" t="s">
        <v>874</v>
      </c>
      <c r="C419" t="s">
        <v>26</v>
      </c>
      <c r="D419" t="s">
        <v>104</v>
      </c>
      <c r="E419" s="4">
        <v>45148</v>
      </c>
      <c r="F419" s="4">
        <v>45155</v>
      </c>
      <c r="G419" s="1">
        <v>4</v>
      </c>
      <c r="H419" s="1">
        <v>4.5</v>
      </c>
      <c r="I419" t="s">
        <v>13</v>
      </c>
      <c r="J419" t="s">
        <v>2141</v>
      </c>
      <c r="K419" t="s">
        <v>28</v>
      </c>
      <c r="L419" s="1" t="str">
        <f t="shared" si="36"/>
        <v>2023</v>
      </c>
      <c r="M419" t="str">
        <f t="shared" si="37"/>
        <v>Aug</v>
      </c>
      <c r="N419" t="str">
        <f t="shared" si="38"/>
        <v>Thu</v>
      </c>
      <c r="O419" s="1">
        <f t="shared" si="39"/>
        <v>7</v>
      </c>
      <c r="P419" s="1">
        <f t="shared" si="40"/>
        <v>18</v>
      </c>
      <c r="Q419" s="1">
        <f>ROUND(G419*H419*VLOOKUP(D419,'Cost Product'!A$1:C$21,3,FALSE),0)</f>
        <v>9</v>
      </c>
      <c r="R419" s="1">
        <f t="shared" si="41"/>
        <v>9</v>
      </c>
    </row>
    <row r="420" spans="1:18" x14ac:dyDescent="0.25">
      <c r="A420" s="1" t="s">
        <v>875</v>
      </c>
      <c r="B420" t="s">
        <v>876</v>
      </c>
      <c r="C420" t="s">
        <v>17</v>
      </c>
      <c r="D420" t="s">
        <v>18</v>
      </c>
      <c r="E420" s="4">
        <v>45207</v>
      </c>
      <c r="F420" s="4">
        <v>45210</v>
      </c>
      <c r="G420" s="1">
        <v>4</v>
      </c>
      <c r="H420" s="1">
        <v>5.5</v>
      </c>
      <c r="I420" t="s">
        <v>13</v>
      </c>
      <c r="J420" t="s">
        <v>2144</v>
      </c>
      <c r="K420" t="s">
        <v>28</v>
      </c>
      <c r="L420" s="1" t="str">
        <f t="shared" si="36"/>
        <v>2023</v>
      </c>
      <c r="M420" t="str">
        <f t="shared" si="37"/>
        <v>Oct</v>
      </c>
      <c r="N420" t="str">
        <f t="shared" si="38"/>
        <v>Sun</v>
      </c>
      <c r="O420" s="1">
        <f t="shared" si="39"/>
        <v>3</v>
      </c>
      <c r="P420" s="1">
        <f t="shared" si="40"/>
        <v>22</v>
      </c>
      <c r="Q420" s="1">
        <f>ROUND(G420*H420*VLOOKUP(D420,'Cost Product'!A$1:C$21,3,FALSE),0)</f>
        <v>13</v>
      </c>
      <c r="R420" s="1">
        <f t="shared" si="41"/>
        <v>9</v>
      </c>
    </row>
    <row r="421" spans="1:18" x14ac:dyDescent="0.25">
      <c r="A421" s="1" t="s">
        <v>877</v>
      </c>
      <c r="B421" t="s">
        <v>878</v>
      </c>
      <c r="C421" t="s">
        <v>26</v>
      </c>
      <c r="D421" t="s">
        <v>45</v>
      </c>
      <c r="E421" s="4">
        <v>45308</v>
      </c>
      <c r="F421" s="4">
        <v>45315</v>
      </c>
      <c r="G421" s="1">
        <v>4</v>
      </c>
      <c r="H421" s="1">
        <v>4.5</v>
      </c>
      <c r="I421" t="s">
        <v>13</v>
      </c>
      <c r="J421" t="s">
        <v>2141</v>
      </c>
      <c r="K421" t="s">
        <v>28</v>
      </c>
      <c r="L421" s="1" t="str">
        <f t="shared" si="36"/>
        <v>2024</v>
      </c>
      <c r="M421" t="str">
        <f t="shared" si="37"/>
        <v>Jan</v>
      </c>
      <c r="N421" t="str">
        <f t="shared" si="38"/>
        <v>Wed</v>
      </c>
      <c r="O421" s="1">
        <f t="shared" si="39"/>
        <v>7</v>
      </c>
      <c r="P421" s="1">
        <f t="shared" si="40"/>
        <v>18</v>
      </c>
      <c r="Q421" s="1">
        <f>ROUND(G421*H421*VLOOKUP(D421,'Cost Product'!A$1:C$21,3,FALSE),0)</f>
        <v>9</v>
      </c>
      <c r="R421" s="1">
        <f t="shared" si="41"/>
        <v>9</v>
      </c>
    </row>
    <row r="422" spans="1:18" x14ac:dyDescent="0.25">
      <c r="A422" s="1" t="s">
        <v>879</v>
      </c>
      <c r="B422" t="s">
        <v>880</v>
      </c>
      <c r="C422" t="s">
        <v>26</v>
      </c>
      <c r="D422" t="s">
        <v>82</v>
      </c>
      <c r="E422" s="4">
        <v>45545</v>
      </c>
      <c r="F422" s="4">
        <v>45548</v>
      </c>
      <c r="G422" s="1">
        <v>4</v>
      </c>
      <c r="H422" s="1">
        <v>4.25</v>
      </c>
      <c r="I422" t="s">
        <v>13</v>
      </c>
      <c r="J422" t="s">
        <v>2141</v>
      </c>
      <c r="K422" t="s">
        <v>28</v>
      </c>
      <c r="L422" s="1" t="str">
        <f t="shared" si="36"/>
        <v>2024</v>
      </c>
      <c r="M422" t="str">
        <f t="shared" si="37"/>
        <v>Sep</v>
      </c>
      <c r="N422" t="str">
        <f t="shared" si="38"/>
        <v>Tue</v>
      </c>
      <c r="O422" s="1">
        <f t="shared" si="39"/>
        <v>3</v>
      </c>
      <c r="P422" s="1">
        <f t="shared" si="40"/>
        <v>17</v>
      </c>
      <c r="Q422" s="1">
        <f>ROUND(G422*H422*VLOOKUP(D422,'Cost Product'!A$1:C$21,3,FALSE),0)</f>
        <v>8</v>
      </c>
      <c r="R422" s="1">
        <f t="shared" si="41"/>
        <v>9</v>
      </c>
    </row>
    <row r="423" spans="1:18" x14ac:dyDescent="0.25">
      <c r="A423" s="1" t="s">
        <v>881</v>
      </c>
      <c r="B423" t="s">
        <v>882</v>
      </c>
      <c r="C423" t="s">
        <v>65</v>
      </c>
      <c r="D423" t="s">
        <v>66</v>
      </c>
      <c r="E423" s="4">
        <v>45240</v>
      </c>
      <c r="F423" s="4">
        <v>45244</v>
      </c>
      <c r="G423" s="1">
        <v>2</v>
      </c>
      <c r="H423" s="1">
        <v>3.5</v>
      </c>
      <c r="I423" t="s">
        <v>13</v>
      </c>
      <c r="J423" t="s">
        <v>2144</v>
      </c>
      <c r="K423" t="s">
        <v>19</v>
      </c>
      <c r="L423" s="1" t="str">
        <f t="shared" si="36"/>
        <v>2023</v>
      </c>
      <c r="M423" t="str">
        <f t="shared" si="37"/>
        <v>Nov</v>
      </c>
      <c r="N423" t="str">
        <f t="shared" si="38"/>
        <v>Fri</v>
      </c>
      <c r="O423" s="1">
        <f t="shared" si="39"/>
        <v>4</v>
      </c>
      <c r="P423" s="1">
        <f t="shared" si="40"/>
        <v>7</v>
      </c>
      <c r="Q423" s="1">
        <f>ROUND(G423*H423*VLOOKUP(D423,'Cost Product'!A$1:C$21,3,FALSE),0)</f>
        <v>3</v>
      </c>
      <c r="R423" s="1">
        <f t="shared" si="41"/>
        <v>4</v>
      </c>
    </row>
    <row r="424" spans="1:18" x14ac:dyDescent="0.25">
      <c r="A424" s="1" t="s">
        <v>883</v>
      </c>
      <c r="B424" t="s">
        <v>884</v>
      </c>
      <c r="C424" t="s">
        <v>17</v>
      </c>
      <c r="D424" t="s">
        <v>79</v>
      </c>
      <c r="E424" s="4">
        <v>45458</v>
      </c>
      <c r="F424" s="4">
        <v>45460</v>
      </c>
      <c r="G424" s="1">
        <v>3</v>
      </c>
      <c r="H424" s="1">
        <v>5</v>
      </c>
      <c r="I424" t="s">
        <v>13</v>
      </c>
      <c r="J424" t="s">
        <v>2142</v>
      </c>
      <c r="K424" t="s">
        <v>28</v>
      </c>
      <c r="L424" s="1" t="str">
        <f t="shared" si="36"/>
        <v>2024</v>
      </c>
      <c r="M424" t="str">
        <f t="shared" si="37"/>
        <v>Jun</v>
      </c>
      <c r="N424" t="str">
        <f t="shared" si="38"/>
        <v>Sat</v>
      </c>
      <c r="O424" s="1">
        <f t="shared" si="39"/>
        <v>2</v>
      </c>
      <c r="P424" s="1">
        <f t="shared" si="40"/>
        <v>15</v>
      </c>
      <c r="Q424" s="1">
        <f>ROUND(G424*H424*VLOOKUP(D424,'Cost Product'!A$1:C$21,3,FALSE),0)</f>
        <v>8</v>
      </c>
      <c r="R424" s="1">
        <f t="shared" si="41"/>
        <v>7</v>
      </c>
    </row>
    <row r="425" spans="1:18" x14ac:dyDescent="0.25">
      <c r="A425" s="1" t="s">
        <v>885</v>
      </c>
      <c r="B425" t="s">
        <v>886</v>
      </c>
      <c r="C425" t="s">
        <v>26</v>
      </c>
      <c r="D425" t="s">
        <v>27</v>
      </c>
      <c r="E425" s="4">
        <v>45388</v>
      </c>
      <c r="F425" s="4">
        <v>45391</v>
      </c>
      <c r="G425" s="1">
        <v>4</v>
      </c>
      <c r="H425" s="1">
        <v>4.75</v>
      </c>
      <c r="I425" t="s">
        <v>13</v>
      </c>
      <c r="J425" t="s">
        <v>2143</v>
      </c>
      <c r="K425" t="s">
        <v>19</v>
      </c>
      <c r="L425" s="1" t="str">
        <f t="shared" si="36"/>
        <v>2024</v>
      </c>
      <c r="M425" t="str">
        <f t="shared" si="37"/>
        <v>Apr</v>
      </c>
      <c r="N425" t="str">
        <f t="shared" si="38"/>
        <v>Sat</v>
      </c>
      <c r="O425" s="1">
        <f t="shared" si="39"/>
        <v>3</v>
      </c>
      <c r="P425" s="1">
        <f t="shared" si="40"/>
        <v>19</v>
      </c>
      <c r="Q425" s="1">
        <f>ROUND(G425*H425*VLOOKUP(D425,'Cost Product'!A$1:C$21,3,FALSE),0)</f>
        <v>10</v>
      </c>
      <c r="R425" s="1">
        <f t="shared" si="41"/>
        <v>9</v>
      </c>
    </row>
    <row r="426" spans="1:18" x14ac:dyDescent="0.25">
      <c r="A426" s="1" t="s">
        <v>887</v>
      </c>
      <c r="B426" t="s">
        <v>888</v>
      </c>
      <c r="C426" t="s">
        <v>17</v>
      </c>
      <c r="D426" t="s">
        <v>53</v>
      </c>
      <c r="E426" s="4">
        <v>45276</v>
      </c>
      <c r="F426" s="4">
        <v>45287</v>
      </c>
      <c r="G426" s="1">
        <v>5</v>
      </c>
      <c r="H426" s="1">
        <v>4.75</v>
      </c>
      <c r="I426" t="s">
        <v>13</v>
      </c>
      <c r="J426" t="s">
        <v>2144</v>
      </c>
      <c r="K426" t="s">
        <v>14</v>
      </c>
      <c r="L426" s="1" t="str">
        <f t="shared" si="36"/>
        <v>2023</v>
      </c>
      <c r="M426" t="str">
        <f t="shared" si="37"/>
        <v>Dec</v>
      </c>
      <c r="N426" t="str">
        <f t="shared" si="38"/>
        <v>Sat</v>
      </c>
      <c r="O426" s="1">
        <f t="shared" si="39"/>
        <v>11</v>
      </c>
      <c r="P426" s="1">
        <f t="shared" si="40"/>
        <v>23.75</v>
      </c>
      <c r="Q426" s="1">
        <f>ROUND(G426*H426*VLOOKUP(D426,'Cost Product'!A$1:C$21,3,FALSE),0)</f>
        <v>13</v>
      </c>
      <c r="R426" s="1">
        <f t="shared" si="41"/>
        <v>10.75</v>
      </c>
    </row>
    <row r="427" spans="1:18" x14ac:dyDescent="0.25">
      <c r="A427" s="1" t="s">
        <v>889</v>
      </c>
      <c r="B427" t="s">
        <v>890</v>
      </c>
      <c r="C427" t="s">
        <v>22</v>
      </c>
      <c r="D427" t="s">
        <v>23</v>
      </c>
      <c r="E427" s="4">
        <v>45207</v>
      </c>
      <c r="F427" s="4">
        <v>45208</v>
      </c>
      <c r="G427" s="1">
        <v>2</v>
      </c>
      <c r="H427" s="1">
        <v>10</v>
      </c>
      <c r="I427" t="s">
        <v>13</v>
      </c>
      <c r="J427" t="s">
        <v>2141</v>
      </c>
      <c r="K427" t="s">
        <v>19</v>
      </c>
      <c r="L427" s="1" t="str">
        <f t="shared" si="36"/>
        <v>2023</v>
      </c>
      <c r="M427" t="str">
        <f t="shared" si="37"/>
        <v>Oct</v>
      </c>
      <c r="N427" t="str">
        <f t="shared" si="38"/>
        <v>Sun</v>
      </c>
      <c r="O427" s="1">
        <f t="shared" si="39"/>
        <v>1</v>
      </c>
      <c r="P427" s="1">
        <f t="shared" si="40"/>
        <v>20</v>
      </c>
      <c r="Q427" s="1">
        <f>ROUND(G427*H427*VLOOKUP(D427,'Cost Product'!A$1:C$21,3,FALSE),0)</f>
        <v>13</v>
      </c>
      <c r="R427" s="1">
        <f t="shared" si="41"/>
        <v>7</v>
      </c>
    </row>
    <row r="428" spans="1:18" x14ac:dyDescent="0.25">
      <c r="A428" s="1" t="s">
        <v>891</v>
      </c>
      <c r="B428" t="s">
        <v>892</v>
      </c>
      <c r="C428" t="s">
        <v>65</v>
      </c>
      <c r="D428" t="s">
        <v>66</v>
      </c>
      <c r="E428" s="4">
        <v>45581</v>
      </c>
      <c r="F428" s="4">
        <v>45583</v>
      </c>
      <c r="G428" s="1">
        <v>5</v>
      </c>
      <c r="H428" s="1">
        <v>3.5</v>
      </c>
      <c r="I428" t="s">
        <v>13</v>
      </c>
      <c r="J428" t="s">
        <v>2143</v>
      </c>
      <c r="K428" t="s">
        <v>14</v>
      </c>
      <c r="L428" s="1" t="str">
        <f t="shared" si="36"/>
        <v>2024</v>
      </c>
      <c r="M428" t="str">
        <f t="shared" si="37"/>
        <v>Oct</v>
      </c>
      <c r="N428" t="str">
        <f t="shared" si="38"/>
        <v>Wed</v>
      </c>
      <c r="O428" s="1">
        <f t="shared" si="39"/>
        <v>2</v>
      </c>
      <c r="P428" s="1">
        <f t="shared" si="40"/>
        <v>17.5</v>
      </c>
      <c r="Q428" s="1">
        <f>ROUND(G428*H428*VLOOKUP(D428,'Cost Product'!A$1:C$21,3,FALSE),0)</f>
        <v>8</v>
      </c>
      <c r="R428" s="1">
        <f t="shared" si="41"/>
        <v>9.5</v>
      </c>
    </row>
    <row r="429" spans="1:18" x14ac:dyDescent="0.25">
      <c r="A429" s="1" t="s">
        <v>893</v>
      </c>
      <c r="B429" t="s">
        <v>894</v>
      </c>
      <c r="C429" t="s">
        <v>65</v>
      </c>
      <c r="D429" t="s">
        <v>115</v>
      </c>
      <c r="E429" s="4">
        <v>45126</v>
      </c>
      <c r="F429" s="4">
        <v>45134</v>
      </c>
      <c r="G429" s="1">
        <v>1</v>
      </c>
      <c r="H429" s="1">
        <v>3</v>
      </c>
      <c r="I429" t="s">
        <v>13</v>
      </c>
      <c r="J429" t="s">
        <v>2144</v>
      </c>
      <c r="K429" t="s">
        <v>28</v>
      </c>
      <c r="L429" s="1" t="str">
        <f t="shared" si="36"/>
        <v>2023</v>
      </c>
      <c r="M429" t="str">
        <f t="shared" si="37"/>
        <v>Jul</v>
      </c>
      <c r="N429" t="str">
        <f t="shared" si="38"/>
        <v>Wed</v>
      </c>
      <c r="O429" s="1">
        <f t="shared" si="39"/>
        <v>8</v>
      </c>
      <c r="P429" s="1">
        <f t="shared" si="40"/>
        <v>3</v>
      </c>
      <c r="Q429" s="1">
        <f>ROUND(G429*H429*VLOOKUP(D429,'Cost Product'!A$1:C$21,3,FALSE),0)</f>
        <v>1</v>
      </c>
      <c r="R429" s="1">
        <f t="shared" si="41"/>
        <v>2</v>
      </c>
    </row>
    <row r="430" spans="1:18" x14ac:dyDescent="0.25">
      <c r="A430" s="1" t="s">
        <v>895</v>
      </c>
      <c r="B430" t="s">
        <v>896</v>
      </c>
      <c r="C430" t="s">
        <v>26</v>
      </c>
      <c r="D430" t="s">
        <v>104</v>
      </c>
      <c r="E430" s="4">
        <v>45343</v>
      </c>
      <c r="F430" s="4">
        <v>45345</v>
      </c>
      <c r="G430" s="1">
        <v>2</v>
      </c>
      <c r="H430" s="1">
        <v>4.5</v>
      </c>
      <c r="I430" t="s">
        <v>13</v>
      </c>
      <c r="J430" t="s">
        <v>2142</v>
      </c>
      <c r="K430" t="s">
        <v>28</v>
      </c>
      <c r="L430" s="1" t="str">
        <f t="shared" si="36"/>
        <v>2024</v>
      </c>
      <c r="M430" t="str">
        <f t="shared" si="37"/>
        <v>Feb</v>
      </c>
      <c r="N430" t="str">
        <f t="shared" si="38"/>
        <v>Wed</v>
      </c>
      <c r="O430" s="1">
        <f t="shared" si="39"/>
        <v>2</v>
      </c>
      <c r="P430" s="1">
        <f t="shared" si="40"/>
        <v>9</v>
      </c>
      <c r="Q430" s="1">
        <f>ROUND(G430*H430*VLOOKUP(D430,'Cost Product'!A$1:C$21,3,FALSE),0)</f>
        <v>5</v>
      </c>
      <c r="R430" s="1">
        <f t="shared" si="41"/>
        <v>4</v>
      </c>
    </row>
    <row r="431" spans="1:18" x14ac:dyDescent="0.25">
      <c r="A431" s="1" t="s">
        <v>897</v>
      </c>
      <c r="B431" t="s">
        <v>898</v>
      </c>
      <c r="C431" t="s">
        <v>65</v>
      </c>
      <c r="D431" t="s">
        <v>120</v>
      </c>
      <c r="E431" s="4">
        <v>45323</v>
      </c>
      <c r="F431" s="4">
        <v>45325</v>
      </c>
      <c r="G431" s="1">
        <v>5</v>
      </c>
      <c r="H431" s="1">
        <v>3.75</v>
      </c>
      <c r="I431" t="s">
        <v>13</v>
      </c>
      <c r="J431" t="s">
        <v>2143</v>
      </c>
      <c r="K431" t="s">
        <v>14</v>
      </c>
      <c r="L431" s="1" t="str">
        <f t="shared" si="36"/>
        <v>2024</v>
      </c>
      <c r="M431" t="str">
        <f t="shared" si="37"/>
        <v>Feb</v>
      </c>
      <c r="N431" t="str">
        <f t="shared" si="38"/>
        <v>Thu</v>
      </c>
      <c r="O431" s="1">
        <f t="shared" si="39"/>
        <v>2</v>
      </c>
      <c r="P431" s="1">
        <f t="shared" si="40"/>
        <v>18.75</v>
      </c>
      <c r="Q431" s="1">
        <f>ROUND(G431*H431*VLOOKUP(D431,'Cost Product'!A$1:C$21,3,FALSE),0)</f>
        <v>9</v>
      </c>
      <c r="R431" s="1">
        <f t="shared" si="41"/>
        <v>9.75</v>
      </c>
    </row>
    <row r="432" spans="1:18" x14ac:dyDescent="0.25">
      <c r="A432" s="1" t="s">
        <v>899</v>
      </c>
      <c r="B432" t="s">
        <v>900</v>
      </c>
      <c r="C432" t="s">
        <v>26</v>
      </c>
      <c r="D432" t="s">
        <v>45</v>
      </c>
      <c r="E432" s="4">
        <v>45236</v>
      </c>
      <c r="F432" s="4">
        <v>45237</v>
      </c>
      <c r="G432" s="1">
        <v>2</v>
      </c>
      <c r="H432" s="1">
        <v>4.5</v>
      </c>
      <c r="I432" t="s">
        <v>40</v>
      </c>
      <c r="J432" t="s">
        <v>2143</v>
      </c>
      <c r="K432" t="s">
        <v>19</v>
      </c>
      <c r="L432" s="1" t="str">
        <f t="shared" si="36"/>
        <v>2023</v>
      </c>
      <c r="M432" t="str">
        <f t="shared" si="37"/>
        <v>Nov</v>
      </c>
      <c r="N432" t="str">
        <f t="shared" si="38"/>
        <v>Mon</v>
      </c>
      <c r="O432" s="1">
        <f t="shared" si="39"/>
        <v>1</v>
      </c>
      <c r="P432" s="1">
        <f t="shared" si="40"/>
        <v>9</v>
      </c>
      <c r="Q432" s="1">
        <f>ROUND(G432*H432*VLOOKUP(D432,'Cost Product'!A$1:C$21,3,FALSE),0)</f>
        <v>5</v>
      </c>
      <c r="R432" s="1">
        <f t="shared" si="41"/>
        <v>4</v>
      </c>
    </row>
    <row r="433" spans="1:18" x14ac:dyDescent="0.25">
      <c r="A433" s="1" t="s">
        <v>901</v>
      </c>
      <c r="B433" t="s">
        <v>902</v>
      </c>
      <c r="C433" t="s">
        <v>26</v>
      </c>
      <c r="D433" t="s">
        <v>82</v>
      </c>
      <c r="E433" s="4">
        <v>45288</v>
      </c>
      <c r="F433" s="4">
        <v>45289</v>
      </c>
      <c r="G433" s="1">
        <v>5</v>
      </c>
      <c r="H433" s="1">
        <v>4.25</v>
      </c>
      <c r="I433" t="s">
        <v>13</v>
      </c>
      <c r="J433" t="s">
        <v>2141</v>
      </c>
      <c r="K433" t="s">
        <v>28</v>
      </c>
      <c r="L433" s="1" t="str">
        <f t="shared" si="36"/>
        <v>2023</v>
      </c>
      <c r="M433" t="str">
        <f t="shared" si="37"/>
        <v>Dec</v>
      </c>
      <c r="N433" t="str">
        <f t="shared" si="38"/>
        <v>Thu</v>
      </c>
      <c r="O433" s="1">
        <f t="shared" si="39"/>
        <v>1</v>
      </c>
      <c r="P433" s="1">
        <f t="shared" si="40"/>
        <v>21.25</v>
      </c>
      <c r="Q433" s="1">
        <f>ROUND(G433*H433*VLOOKUP(D433,'Cost Product'!A$1:C$21,3,FALSE),0)</f>
        <v>10</v>
      </c>
      <c r="R433" s="1">
        <f t="shared" si="41"/>
        <v>11.25</v>
      </c>
    </row>
    <row r="434" spans="1:18" x14ac:dyDescent="0.25">
      <c r="A434" s="1" t="s">
        <v>903</v>
      </c>
      <c r="B434" t="s">
        <v>904</v>
      </c>
      <c r="C434" t="s">
        <v>17</v>
      </c>
      <c r="D434" t="s">
        <v>18</v>
      </c>
      <c r="E434" s="4">
        <v>45311</v>
      </c>
      <c r="F434" s="4">
        <v>45321</v>
      </c>
      <c r="G434" s="1">
        <v>3</v>
      </c>
      <c r="H434" s="1">
        <v>5.5</v>
      </c>
      <c r="I434" t="s">
        <v>13</v>
      </c>
      <c r="J434" t="s">
        <v>2141</v>
      </c>
      <c r="K434" t="s">
        <v>19</v>
      </c>
      <c r="L434" s="1" t="str">
        <f t="shared" si="36"/>
        <v>2024</v>
      </c>
      <c r="M434" t="str">
        <f t="shared" si="37"/>
        <v>Jan</v>
      </c>
      <c r="N434" t="str">
        <f t="shared" si="38"/>
        <v>Sat</v>
      </c>
      <c r="O434" s="1">
        <f t="shared" si="39"/>
        <v>10</v>
      </c>
      <c r="P434" s="1">
        <f t="shared" si="40"/>
        <v>16.5</v>
      </c>
      <c r="Q434" s="1">
        <f>ROUND(G434*H434*VLOOKUP(D434,'Cost Product'!A$1:C$21,3,FALSE),0)</f>
        <v>10</v>
      </c>
      <c r="R434" s="1">
        <f t="shared" si="41"/>
        <v>6.5</v>
      </c>
    </row>
    <row r="435" spans="1:18" x14ac:dyDescent="0.25">
      <c r="A435" s="1" t="s">
        <v>905</v>
      </c>
      <c r="B435" t="s">
        <v>906</v>
      </c>
      <c r="C435" t="s">
        <v>22</v>
      </c>
      <c r="D435" t="s">
        <v>59</v>
      </c>
      <c r="E435" s="4">
        <v>45462</v>
      </c>
      <c r="F435" s="4">
        <v>45466</v>
      </c>
      <c r="G435" s="1">
        <v>4</v>
      </c>
      <c r="H435" s="1">
        <v>8.5</v>
      </c>
      <c r="I435" t="s">
        <v>13</v>
      </c>
      <c r="J435" t="s">
        <v>2141</v>
      </c>
      <c r="K435" t="s">
        <v>28</v>
      </c>
      <c r="L435" s="1" t="str">
        <f t="shared" si="36"/>
        <v>2024</v>
      </c>
      <c r="M435" t="str">
        <f t="shared" si="37"/>
        <v>Jun</v>
      </c>
      <c r="N435" t="str">
        <f t="shared" si="38"/>
        <v>Wed</v>
      </c>
      <c r="O435" s="1">
        <f t="shared" si="39"/>
        <v>4</v>
      </c>
      <c r="P435" s="1">
        <f t="shared" si="40"/>
        <v>34</v>
      </c>
      <c r="Q435" s="1">
        <f>ROUND(G435*H435*VLOOKUP(D435,'Cost Product'!A$1:C$21,3,FALSE),0)</f>
        <v>20</v>
      </c>
      <c r="R435" s="1">
        <f t="shared" si="41"/>
        <v>14</v>
      </c>
    </row>
    <row r="436" spans="1:18" x14ac:dyDescent="0.25">
      <c r="A436" s="1" t="s">
        <v>907</v>
      </c>
      <c r="B436" t="s">
        <v>908</v>
      </c>
      <c r="C436" t="s">
        <v>65</v>
      </c>
      <c r="D436" t="s">
        <v>115</v>
      </c>
      <c r="E436" s="4">
        <v>45267</v>
      </c>
      <c r="F436" s="4">
        <v>45272</v>
      </c>
      <c r="G436" s="1">
        <v>2</v>
      </c>
      <c r="H436" s="1">
        <v>3</v>
      </c>
      <c r="I436" t="s">
        <v>13</v>
      </c>
      <c r="J436" t="s">
        <v>2141</v>
      </c>
      <c r="K436" t="s">
        <v>28</v>
      </c>
      <c r="L436" s="1" t="str">
        <f t="shared" si="36"/>
        <v>2023</v>
      </c>
      <c r="M436" t="str">
        <f t="shared" si="37"/>
        <v>Dec</v>
      </c>
      <c r="N436" t="str">
        <f t="shared" si="38"/>
        <v>Thu</v>
      </c>
      <c r="O436" s="1">
        <f t="shared" si="39"/>
        <v>5</v>
      </c>
      <c r="P436" s="1">
        <f t="shared" si="40"/>
        <v>6</v>
      </c>
      <c r="Q436" s="1">
        <f>ROUND(G436*H436*VLOOKUP(D436,'Cost Product'!A$1:C$21,3,FALSE),0)</f>
        <v>3</v>
      </c>
      <c r="R436" s="1">
        <f t="shared" si="41"/>
        <v>3</v>
      </c>
    </row>
    <row r="437" spans="1:18" x14ac:dyDescent="0.25">
      <c r="A437" s="1" t="s">
        <v>909</v>
      </c>
      <c r="B437" t="s">
        <v>910</v>
      </c>
      <c r="C437" t="s">
        <v>22</v>
      </c>
      <c r="D437" t="s">
        <v>59</v>
      </c>
      <c r="E437" s="4">
        <v>45116</v>
      </c>
      <c r="F437" s="4">
        <v>45121</v>
      </c>
      <c r="G437" s="1">
        <v>5</v>
      </c>
      <c r="H437" s="1">
        <v>8.5</v>
      </c>
      <c r="I437" t="s">
        <v>13</v>
      </c>
      <c r="J437" t="s">
        <v>2143</v>
      </c>
      <c r="K437" t="s">
        <v>14</v>
      </c>
      <c r="L437" s="1" t="str">
        <f t="shared" si="36"/>
        <v>2023</v>
      </c>
      <c r="M437" t="str">
        <f t="shared" si="37"/>
        <v>Jul</v>
      </c>
      <c r="N437" t="str">
        <f t="shared" si="38"/>
        <v>Sun</v>
      </c>
      <c r="O437" s="1">
        <f t="shared" si="39"/>
        <v>5</v>
      </c>
      <c r="P437" s="1">
        <f t="shared" si="40"/>
        <v>42.5</v>
      </c>
      <c r="Q437" s="1">
        <f>ROUND(G437*H437*VLOOKUP(D437,'Cost Product'!A$1:C$21,3,FALSE),0)</f>
        <v>26</v>
      </c>
      <c r="R437" s="1">
        <f t="shared" si="41"/>
        <v>16.5</v>
      </c>
    </row>
    <row r="438" spans="1:18" x14ac:dyDescent="0.25">
      <c r="A438" s="1" t="s">
        <v>911</v>
      </c>
      <c r="B438" t="s">
        <v>912</v>
      </c>
      <c r="C438" t="s">
        <v>26</v>
      </c>
      <c r="D438" t="s">
        <v>104</v>
      </c>
      <c r="E438" s="4">
        <v>45246</v>
      </c>
      <c r="F438" s="4">
        <v>45247</v>
      </c>
      <c r="G438" s="1">
        <v>4</v>
      </c>
      <c r="H438" s="1">
        <v>4.5</v>
      </c>
      <c r="I438" t="s">
        <v>13</v>
      </c>
      <c r="J438" t="s">
        <v>2144</v>
      </c>
      <c r="K438" t="s">
        <v>19</v>
      </c>
      <c r="L438" s="1" t="str">
        <f t="shared" si="36"/>
        <v>2023</v>
      </c>
      <c r="M438" t="str">
        <f t="shared" si="37"/>
        <v>Nov</v>
      </c>
      <c r="N438" t="str">
        <f t="shared" si="38"/>
        <v>Thu</v>
      </c>
      <c r="O438" s="1">
        <f t="shared" si="39"/>
        <v>1</v>
      </c>
      <c r="P438" s="1">
        <f t="shared" si="40"/>
        <v>18</v>
      </c>
      <c r="Q438" s="1">
        <f>ROUND(G438*H438*VLOOKUP(D438,'Cost Product'!A$1:C$21,3,FALSE),0)</f>
        <v>9</v>
      </c>
      <c r="R438" s="1">
        <f t="shared" si="41"/>
        <v>9</v>
      </c>
    </row>
    <row r="439" spans="1:18" x14ac:dyDescent="0.25">
      <c r="A439" s="1" t="s">
        <v>913</v>
      </c>
      <c r="B439" t="s">
        <v>914</v>
      </c>
      <c r="C439" t="s">
        <v>22</v>
      </c>
      <c r="D439" t="s">
        <v>23</v>
      </c>
      <c r="E439" s="4">
        <v>45467</v>
      </c>
      <c r="F439" s="4">
        <v>45471</v>
      </c>
      <c r="G439" s="1">
        <v>1</v>
      </c>
      <c r="H439" s="1">
        <v>10</v>
      </c>
      <c r="I439" t="s">
        <v>13</v>
      </c>
      <c r="J439" t="s">
        <v>2142</v>
      </c>
      <c r="K439" t="s">
        <v>14</v>
      </c>
      <c r="L439" s="1" t="str">
        <f t="shared" si="36"/>
        <v>2024</v>
      </c>
      <c r="M439" t="str">
        <f t="shared" si="37"/>
        <v>Jun</v>
      </c>
      <c r="N439" t="str">
        <f t="shared" si="38"/>
        <v>Mon</v>
      </c>
      <c r="O439" s="1">
        <f t="shared" si="39"/>
        <v>4</v>
      </c>
      <c r="P439" s="1">
        <f t="shared" si="40"/>
        <v>10</v>
      </c>
      <c r="Q439" s="1">
        <f>ROUND(G439*H439*VLOOKUP(D439,'Cost Product'!A$1:C$21,3,FALSE),0)</f>
        <v>7</v>
      </c>
      <c r="R439" s="1">
        <f t="shared" si="41"/>
        <v>3</v>
      </c>
    </row>
    <row r="440" spans="1:18" x14ac:dyDescent="0.25">
      <c r="A440" s="1" t="s">
        <v>915</v>
      </c>
      <c r="B440" t="s">
        <v>916</v>
      </c>
      <c r="C440" t="s">
        <v>22</v>
      </c>
      <c r="D440" t="s">
        <v>62</v>
      </c>
      <c r="E440" s="4">
        <v>45469</v>
      </c>
      <c r="F440" s="4">
        <v>45478</v>
      </c>
      <c r="G440" s="1">
        <v>4</v>
      </c>
      <c r="H440" s="1">
        <v>8</v>
      </c>
      <c r="I440" t="s">
        <v>13</v>
      </c>
      <c r="J440" t="s">
        <v>2144</v>
      </c>
      <c r="K440" t="s">
        <v>28</v>
      </c>
      <c r="L440" s="1" t="str">
        <f t="shared" si="36"/>
        <v>2024</v>
      </c>
      <c r="M440" t="str">
        <f t="shared" si="37"/>
        <v>Jun</v>
      </c>
      <c r="N440" t="str">
        <f t="shared" si="38"/>
        <v>Wed</v>
      </c>
      <c r="O440" s="1">
        <f t="shared" si="39"/>
        <v>9</v>
      </c>
      <c r="P440" s="1">
        <f t="shared" si="40"/>
        <v>32</v>
      </c>
      <c r="Q440" s="1">
        <f>ROUND(G440*H440*VLOOKUP(D440,'Cost Product'!A$1:C$21,3,FALSE),0)</f>
        <v>19</v>
      </c>
      <c r="R440" s="1">
        <f t="shared" si="41"/>
        <v>13</v>
      </c>
    </row>
    <row r="441" spans="1:18" x14ac:dyDescent="0.25">
      <c r="A441" s="1" t="s">
        <v>917</v>
      </c>
      <c r="B441" t="s">
        <v>918</v>
      </c>
      <c r="C441" t="s">
        <v>65</v>
      </c>
      <c r="D441" t="s">
        <v>66</v>
      </c>
      <c r="E441" s="4">
        <v>45349</v>
      </c>
      <c r="F441" s="4">
        <v>45351</v>
      </c>
      <c r="G441" s="1">
        <v>3</v>
      </c>
      <c r="H441" s="1">
        <v>3.5</v>
      </c>
      <c r="I441" t="s">
        <v>13</v>
      </c>
      <c r="J441" t="s">
        <v>2141</v>
      </c>
      <c r="K441" t="s">
        <v>28</v>
      </c>
      <c r="L441" s="1" t="str">
        <f t="shared" si="36"/>
        <v>2024</v>
      </c>
      <c r="M441" t="str">
        <f t="shared" si="37"/>
        <v>Feb</v>
      </c>
      <c r="N441" t="str">
        <f t="shared" si="38"/>
        <v>Tue</v>
      </c>
      <c r="O441" s="1">
        <f t="shared" si="39"/>
        <v>2</v>
      </c>
      <c r="P441" s="1">
        <f t="shared" si="40"/>
        <v>10.5</v>
      </c>
      <c r="Q441" s="1">
        <f>ROUND(G441*H441*VLOOKUP(D441,'Cost Product'!A$1:C$21,3,FALSE),0)</f>
        <v>5</v>
      </c>
      <c r="R441" s="1">
        <f t="shared" si="41"/>
        <v>5.5</v>
      </c>
    </row>
    <row r="442" spans="1:18" x14ac:dyDescent="0.25">
      <c r="A442" s="1" t="s">
        <v>919</v>
      </c>
      <c r="B442" t="s">
        <v>920</v>
      </c>
      <c r="C442" t="s">
        <v>17</v>
      </c>
      <c r="D442" t="s">
        <v>18</v>
      </c>
      <c r="E442" s="4">
        <v>45419</v>
      </c>
      <c r="F442" s="4">
        <v>45433</v>
      </c>
      <c r="G442" s="1">
        <v>1</v>
      </c>
      <c r="H442" s="1">
        <v>5.5</v>
      </c>
      <c r="I442" t="s">
        <v>13</v>
      </c>
      <c r="J442" t="s">
        <v>2143</v>
      </c>
      <c r="K442" t="s">
        <v>19</v>
      </c>
      <c r="L442" s="1" t="str">
        <f t="shared" si="36"/>
        <v>2024</v>
      </c>
      <c r="M442" t="str">
        <f t="shared" si="37"/>
        <v>May</v>
      </c>
      <c r="N442" t="str">
        <f t="shared" si="38"/>
        <v>Tue</v>
      </c>
      <c r="O442" s="1">
        <f t="shared" si="39"/>
        <v>14</v>
      </c>
      <c r="P442" s="1">
        <f t="shared" si="40"/>
        <v>5.5</v>
      </c>
      <c r="Q442" s="1">
        <f>ROUND(G442*H442*VLOOKUP(D442,'Cost Product'!A$1:C$21,3,FALSE),0)</f>
        <v>3</v>
      </c>
      <c r="R442" s="1">
        <f t="shared" si="41"/>
        <v>2.5</v>
      </c>
    </row>
    <row r="443" spans="1:18" x14ac:dyDescent="0.25">
      <c r="A443" s="1" t="s">
        <v>921</v>
      </c>
      <c r="B443" t="s">
        <v>922</v>
      </c>
      <c r="C443" t="s">
        <v>22</v>
      </c>
      <c r="D443" t="s">
        <v>62</v>
      </c>
      <c r="E443" s="4">
        <v>45253</v>
      </c>
      <c r="F443" s="4">
        <v>45255</v>
      </c>
      <c r="G443" s="1">
        <v>3</v>
      </c>
      <c r="H443" s="1">
        <v>8</v>
      </c>
      <c r="I443" t="s">
        <v>13</v>
      </c>
      <c r="J443" t="s">
        <v>2144</v>
      </c>
      <c r="K443" t="s">
        <v>19</v>
      </c>
      <c r="L443" s="1" t="str">
        <f t="shared" si="36"/>
        <v>2023</v>
      </c>
      <c r="M443" t="str">
        <f t="shared" si="37"/>
        <v>Nov</v>
      </c>
      <c r="N443" t="str">
        <f t="shared" si="38"/>
        <v>Thu</v>
      </c>
      <c r="O443" s="1">
        <f t="shared" si="39"/>
        <v>2</v>
      </c>
      <c r="P443" s="1">
        <f t="shared" si="40"/>
        <v>24</v>
      </c>
      <c r="Q443" s="1">
        <f>ROUND(G443*H443*VLOOKUP(D443,'Cost Product'!A$1:C$21,3,FALSE),0)</f>
        <v>14</v>
      </c>
      <c r="R443" s="1">
        <f t="shared" si="41"/>
        <v>10</v>
      </c>
    </row>
    <row r="444" spans="1:18" x14ac:dyDescent="0.25">
      <c r="A444" s="1" t="s">
        <v>923</v>
      </c>
      <c r="B444" t="s">
        <v>924</v>
      </c>
      <c r="C444" t="s">
        <v>22</v>
      </c>
      <c r="D444" t="s">
        <v>59</v>
      </c>
      <c r="E444" s="4">
        <v>45380</v>
      </c>
      <c r="F444" s="4">
        <v>45381</v>
      </c>
      <c r="G444" s="1">
        <v>3</v>
      </c>
      <c r="H444" s="1">
        <v>8.5</v>
      </c>
      <c r="I444" t="s">
        <v>13</v>
      </c>
      <c r="J444" t="s">
        <v>2145</v>
      </c>
      <c r="K444" t="s">
        <v>28</v>
      </c>
      <c r="L444" s="1" t="str">
        <f t="shared" si="36"/>
        <v>2024</v>
      </c>
      <c r="M444" t="str">
        <f t="shared" si="37"/>
        <v>Mar</v>
      </c>
      <c r="N444" t="str">
        <f t="shared" si="38"/>
        <v>Fri</v>
      </c>
      <c r="O444" s="1">
        <f t="shared" si="39"/>
        <v>1</v>
      </c>
      <c r="P444" s="1">
        <f t="shared" si="40"/>
        <v>25.5</v>
      </c>
      <c r="Q444" s="1">
        <f>ROUND(G444*H444*VLOOKUP(D444,'Cost Product'!A$1:C$21,3,FALSE),0)</f>
        <v>15</v>
      </c>
      <c r="R444" s="1">
        <f t="shared" si="41"/>
        <v>10.5</v>
      </c>
    </row>
    <row r="445" spans="1:18" x14ac:dyDescent="0.25">
      <c r="A445" s="1" t="s">
        <v>925</v>
      </c>
      <c r="B445" t="s">
        <v>926</v>
      </c>
      <c r="C445" t="s">
        <v>65</v>
      </c>
      <c r="D445" t="s">
        <v>115</v>
      </c>
      <c r="E445" s="4">
        <v>45346</v>
      </c>
      <c r="F445" s="4">
        <v>45351</v>
      </c>
      <c r="G445" s="1">
        <v>5</v>
      </c>
      <c r="H445" s="1">
        <v>3</v>
      </c>
      <c r="I445" t="s">
        <v>13</v>
      </c>
      <c r="J445" t="s">
        <v>2141</v>
      </c>
      <c r="K445" t="s">
        <v>28</v>
      </c>
      <c r="L445" s="1" t="str">
        <f t="shared" si="36"/>
        <v>2024</v>
      </c>
      <c r="M445" t="str">
        <f t="shared" si="37"/>
        <v>Feb</v>
      </c>
      <c r="N445" t="str">
        <f t="shared" si="38"/>
        <v>Sat</v>
      </c>
      <c r="O445" s="1">
        <f t="shared" si="39"/>
        <v>5</v>
      </c>
      <c r="P445" s="1">
        <f t="shared" si="40"/>
        <v>15</v>
      </c>
      <c r="Q445" s="1">
        <f>ROUND(G445*H445*VLOOKUP(D445,'Cost Product'!A$1:C$21,3,FALSE),0)</f>
        <v>7</v>
      </c>
      <c r="R445" s="1">
        <f t="shared" si="41"/>
        <v>8</v>
      </c>
    </row>
    <row r="446" spans="1:18" x14ac:dyDescent="0.25">
      <c r="A446" s="1" t="s">
        <v>927</v>
      </c>
      <c r="B446" t="s">
        <v>928</v>
      </c>
      <c r="C446" t="s">
        <v>22</v>
      </c>
      <c r="D446" t="s">
        <v>59</v>
      </c>
      <c r="E446" s="4">
        <v>45290</v>
      </c>
      <c r="F446" s="4">
        <v>45296</v>
      </c>
      <c r="G446" s="1">
        <v>1</v>
      </c>
      <c r="H446" s="1">
        <v>8.5</v>
      </c>
      <c r="I446" t="s">
        <v>13</v>
      </c>
      <c r="J446" t="s">
        <v>2144</v>
      </c>
      <c r="K446" t="s">
        <v>28</v>
      </c>
      <c r="L446" s="1" t="str">
        <f t="shared" si="36"/>
        <v>2023</v>
      </c>
      <c r="M446" t="str">
        <f t="shared" si="37"/>
        <v>Dec</v>
      </c>
      <c r="N446" t="str">
        <f t="shared" si="38"/>
        <v>Sat</v>
      </c>
      <c r="O446" s="1">
        <f t="shared" si="39"/>
        <v>6</v>
      </c>
      <c r="P446" s="1">
        <f t="shared" si="40"/>
        <v>8.5</v>
      </c>
      <c r="Q446" s="1">
        <f>ROUND(G446*H446*VLOOKUP(D446,'Cost Product'!A$1:C$21,3,FALSE),0)</f>
        <v>5</v>
      </c>
      <c r="R446" s="1">
        <f t="shared" si="41"/>
        <v>3.5</v>
      </c>
    </row>
    <row r="447" spans="1:18" x14ac:dyDescent="0.25">
      <c r="A447" s="1" t="s">
        <v>929</v>
      </c>
      <c r="B447" t="s">
        <v>930</v>
      </c>
      <c r="C447" t="s">
        <v>17</v>
      </c>
      <c r="D447" t="s">
        <v>53</v>
      </c>
      <c r="E447" s="4">
        <v>45292</v>
      </c>
      <c r="F447" s="4">
        <v>45294</v>
      </c>
      <c r="G447" s="1">
        <v>1</v>
      </c>
      <c r="H447" s="1">
        <v>4.75</v>
      </c>
      <c r="I447" t="s">
        <v>13</v>
      </c>
      <c r="J447" t="s">
        <v>2144</v>
      </c>
      <c r="K447" t="s">
        <v>28</v>
      </c>
      <c r="L447" s="1" t="str">
        <f t="shared" si="36"/>
        <v>2024</v>
      </c>
      <c r="M447" t="str">
        <f t="shared" si="37"/>
        <v>Jan</v>
      </c>
      <c r="N447" t="str">
        <f t="shared" si="38"/>
        <v>Mon</v>
      </c>
      <c r="O447" s="1">
        <f t="shared" si="39"/>
        <v>2</v>
      </c>
      <c r="P447" s="1">
        <f t="shared" si="40"/>
        <v>4.75</v>
      </c>
      <c r="Q447" s="1">
        <f>ROUND(G447*H447*VLOOKUP(D447,'Cost Product'!A$1:C$21,3,FALSE),0)</f>
        <v>3</v>
      </c>
      <c r="R447" s="1">
        <f t="shared" si="41"/>
        <v>1.75</v>
      </c>
    </row>
    <row r="448" spans="1:18" x14ac:dyDescent="0.25">
      <c r="A448" s="1" t="s">
        <v>931</v>
      </c>
      <c r="B448" t="s">
        <v>932</v>
      </c>
      <c r="C448" t="s">
        <v>17</v>
      </c>
      <c r="D448" t="s">
        <v>53</v>
      </c>
      <c r="E448" s="4">
        <v>45526</v>
      </c>
      <c r="F448" s="4">
        <v>45528</v>
      </c>
      <c r="G448" s="1">
        <v>5</v>
      </c>
      <c r="H448" s="1">
        <v>4.75</v>
      </c>
      <c r="I448" t="s">
        <v>13</v>
      </c>
      <c r="J448" t="s">
        <v>2144</v>
      </c>
      <c r="K448" t="s">
        <v>28</v>
      </c>
      <c r="L448" s="1" t="str">
        <f t="shared" si="36"/>
        <v>2024</v>
      </c>
      <c r="M448" t="str">
        <f t="shared" si="37"/>
        <v>Aug</v>
      </c>
      <c r="N448" t="str">
        <f t="shared" si="38"/>
        <v>Thu</v>
      </c>
      <c r="O448" s="1">
        <f t="shared" si="39"/>
        <v>2</v>
      </c>
      <c r="P448" s="1">
        <f t="shared" si="40"/>
        <v>23.75</v>
      </c>
      <c r="Q448" s="1">
        <f>ROUND(G448*H448*VLOOKUP(D448,'Cost Product'!A$1:C$21,3,FALSE),0)</f>
        <v>13</v>
      </c>
      <c r="R448" s="1">
        <f t="shared" si="41"/>
        <v>10.75</v>
      </c>
    </row>
    <row r="449" spans="1:18" x14ac:dyDescent="0.25">
      <c r="A449" s="1" t="s">
        <v>933</v>
      </c>
      <c r="B449" t="s">
        <v>934</v>
      </c>
      <c r="C449" t="s">
        <v>65</v>
      </c>
      <c r="D449" t="s">
        <v>120</v>
      </c>
      <c r="E449" s="4">
        <v>45342</v>
      </c>
      <c r="F449" s="4">
        <v>45343</v>
      </c>
      <c r="G449" s="1">
        <v>1</v>
      </c>
      <c r="H449" s="1">
        <v>3.75</v>
      </c>
      <c r="I449" t="s">
        <v>13</v>
      </c>
      <c r="J449" t="s">
        <v>2141</v>
      </c>
      <c r="K449" t="s">
        <v>28</v>
      </c>
      <c r="L449" s="1" t="str">
        <f t="shared" si="36"/>
        <v>2024</v>
      </c>
      <c r="M449" t="str">
        <f t="shared" si="37"/>
        <v>Feb</v>
      </c>
      <c r="N449" t="str">
        <f t="shared" si="38"/>
        <v>Tue</v>
      </c>
      <c r="O449" s="1">
        <f t="shared" si="39"/>
        <v>1</v>
      </c>
      <c r="P449" s="1">
        <f t="shared" si="40"/>
        <v>3.75</v>
      </c>
      <c r="Q449" s="1">
        <f>ROUND(G449*H449*VLOOKUP(D449,'Cost Product'!A$1:C$21,3,FALSE),0)</f>
        <v>2</v>
      </c>
      <c r="R449" s="1">
        <f t="shared" si="41"/>
        <v>1.75</v>
      </c>
    </row>
    <row r="450" spans="1:18" x14ac:dyDescent="0.25">
      <c r="A450" s="1" t="s">
        <v>935</v>
      </c>
      <c r="B450" t="s">
        <v>936</v>
      </c>
      <c r="C450" t="s">
        <v>65</v>
      </c>
      <c r="D450" t="s">
        <v>99</v>
      </c>
      <c r="E450" s="4">
        <v>45580</v>
      </c>
      <c r="F450" s="4">
        <v>45582</v>
      </c>
      <c r="G450" s="1">
        <v>3</v>
      </c>
      <c r="H450" s="1">
        <v>4</v>
      </c>
      <c r="I450" t="s">
        <v>13</v>
      </c>
      <c r="J450" t="s">
        <v>2141</v>
      </c>
      <c r="K450" t="s">
        <v>19</v>
      </c>
      <c r="L450" s="1" t="str">
        <f t="shared" si="36"/>
        <v>2024</v>
      </c>
      <c r="M450" t="str">
        <f t="shared" si="37"/>
        <v>Oct</v>
      </c>
      <c r="N450" t="str">
        <f t="shared" si="38"/>
        <v>Tue</v>
      </c>
      <c r="O450" s="1">
        <f t="shared" si="39"/>
        <v>2</v>
      </c>
      <c r="P450" s="1">
        <f t="shared" si="40"/>
        <v>12</v>
      </c>
      <c r="Q450" s="1">
        <f>ROUND(G450*H450*VLOOKUP(D450,'Cost Product'!A$1:C$21,3,FALSE),0)</f>
        <v>6</v>
      </c>
      <c r="R450" s="1">
        <f t="shared" si="41"/>
        <v>6</v>
      </c>
    </row>
    <row r="451" spans="1:18" x14ac:dyDescent="0.25">
      <c r="A451" s="1" t="s">
        <v>937</v>
      </c>
      <c r="B451" t="s">
        <v>938</v>
      </c>
      <c r="C451" t="s">
        <v>65</v>
      </c>
      <c r="D451" t="s">
        <v>99</v>
      </c>
      <c r="E451" s="4">
        <v>45145</v>
      </c>
      <c r="F451" s="4">
        <v>45147</v>
      </c>
      <c r="G451" s="1">
        <v>3</v>
      </c>
      <c r="H451" s="1">
        <v>4</v>
      </c>
      <c r="I451" t="s">
        <v>13</v>
      </c>
      <c r="J451" t="s">
        <v>2142</v>
      </c>
      <c r="K451" t="s">
        <v>28</v>
      </c>
      <c r="L451" s="1" t="str">
        <f t="shared" ref="L451:L514" si="42">TEXT(E451, "YYYY")</f>
        <v>2023</v>
      </c>
      <c r="M451" t="str">
        <f t="shared" ref="M451:M514" si="43">TEXT(E451, "MMM")</f>
        <v>Aug</v>
      </c>
      <c r="N451" t="str">
        <f t="shared" ref="N451:N514" si="44">TEXT(E451, "DDD")</f>
        <v>Mon</v>
      </c>
      <c r="O451" s="1">
        <f t="shared" ref="O451:O514" si="45">DATEDIF(E451, F451, "D")</f>
        <v>2</v>
      </c>
      <c r="P451" s="1">
        <f t="shared" ref="P451:P514" si="46">G451*H451</f>
        <v>12</v>
      </c>
      <c r="Q451" s="1">
        <f>ROUND(G451*H451*VLOOKUP(D451,'Cost Product'!A$1:C$21,3,FALSE),0)</f>
        <v>6</v>
      </c>
      <c r="R451" s="1">
        <f t="shared" ref="R451:R514" si="47">P451-Q451</f>
        <v>6</v>
      </c>
    </row>
    <row r="452" spans="1:18" x14ac:dyDescent="0.25">
      <c r="A452" s="1" t="s">
        <v>939</v>
      </c>
      <c r="B452" t="s">
        <v>940</v>
      </c>
      <c r="C452" t="s">
        <v>65</v>
      </c>
      <c r="D452" t="s">
        <v>120</v>
      </c>
      <c r="E452" s="4">
        <v>45496</v>
      </c>
      <c r="F452" s="4">
        <v>45499</v>
      </c>
      <c r="G452" s="1">
        <v>2</v>
      </c>
      <c r="H452" s="1">
        <v>3.75</v>
      </c>
      <c r="I452" t="s">
        <v>13</v>
      </c>
      <c r="J452" t="s">
        <v>2142</v>
      </c>
      <c r="K452" t="s">
        <v>28</v>
      </c>
      <c r="L452" s="1" t="str">
        <f t="shared" si="42"/>
        <v>2024</v>
      </c>
      <c r="M452" t="str">
        <f t="shared" si="43"/>
        <v>Jul</v>
      </c>
      <c r="N452" t="str">
        <f t="shared" si="44"/>
        <v>Tue</v>
      </c>
      <c r="O452" s="1">
        <f t="shared" si="45"/>
        <v>3</v>
      </c>
      <c r="P452" s="1">
        <f t="shared" si="46"/>
        <v>7.5</v>
      </c>
      <c r="Q452" s="1">
        <f>ROUND(G452*H452*VLOOKUP(D452,'Cost Product'!A$1:C$21,3,FALSE),0)</f>
        <v>4</v>
      </c>
      <c r="R452" s="1">
        <f t="shared" si="47"/>
        <v>3.5</v>
      </c>
    </row>
    <row r="453" spans="1:18" x14ac:dyDescent="0.25">
      <c r="A453" s="1" t="s">
        <v>941</v>
      </c>
      <c r="B453" t="s">
        <v>942</v>
      </c>
      <c r="C453" t="s">
        <v>26</v>
      </c>
      <c r="D453" t="s">
        <v>104</v>
      </c>
      <c r="E453" s="4">
        <v>45473</v>
      </c>
      <c r="F453" s="4">
        <v>45475</v>
      </c>
      <c r="G453" s="1">
        <v>1</v>
      </c>
      <c r="H453" s="1">
        <v>4.5</v>
      </c>
      <c r="I453" t="s">
        <v>13</v>
      </c>
      <c r="J453" t="s">
        <v>2141</v>
      </c>
      <c r="K453" t="s">
        <v>19</v>
      </c>
      <c r="L453" s="1" t="str">
        <f t="shared" si="42"/>
        <v>2024</v>
      </c>
      <c r="M453" t="str">
        <f t="shared" si="43"/>
        <v>Jun</v>
      </c>
      <c r="N453" t="str">
        <f t="shared" si="44"/>
        <v>Sun</v>
      </c>
      <c r="O453" s="1">
        <f t="shared" si="45"/>
        <v>2</v>
      </c>
      <c r="P453" s="1">
        <f t="shared" si="46"/>
        <v>4.5</v>
      </c>
      <c r="Q453" s="1">
        <f>ROUND(G453*H453*VLOOKUP(D453,'Cost Product'!A$1:C$21,3,FALSE),0)</f>
        <v>2</v>
      </c>
      <c r="R453" s="1">
        <f t="shared" si="47"/>
        <v>2.5</v>
      </c>
    </row>
    <row r="454" spans="1:18" x14ac:dyDescent="0.25">
      <c r="A454" s="1" t="s">
        <v>943</v>
      </c>
      <c r="B454" t="s">
        <v>944</v>
      </c>
      <c r="C454" t="s">
        <v>65</v>
      </c>
      <c r="D454" t="s">
        <v>120</v>
      </c>
      <c r="E454" s="4">
        <v>45138</v>
      </c>
      <c r="F454" s="4">
        <v>45145</v>
      </c>
      <c r="G454" s="1">
        <v>2</v>
      </c>
      <c r="H454" s="1">
        <v>3.75</v>
      </c>
      <c r="I454" t="s">
        <v>13</v>
      </c>
      <c r="J454" t="s">
        <v>2146</v>
      </c>
      <c r="K454" t="s">
        <v>19</v>
      </c>
      <c r="L454" s="1" t="str">
        <f t="shared" si="42"/>
        <v>2023</v>
      </c>
      <c r="M454" t="str">
        <f t="shared" si="43"/>
        <v>Jul</v>
      </c>
      <c r="N454" t="str">
        <f t="shared" si="44"/>
        <v>Mon</v>
      </c>
      <c r="O454" s="1">
        <f t="shared" si="45"/>
        <v>7</v>
      </c>
      <c r="P454" s="1">
        <f t="shared" si="46"/>
        <v>7.5</v>
      </c>
      <c r="Q454" s="1">
        <f>ROUND(G454*H454*VLOOKUP(D454,'Cost Product'!A$1:C$21,3,FALSE),0)</f>
        <v>4</v>
      </c>
      <c r="R454" s="1">
        <f t="shared" si="47"/>
        <v>3.5</v>
      </c>
    </row>
    <row r="455" spans="1:18" x14ac:dyDescent="0.25">
      <c r="A455" s="1" t="s">
        <v>945</v>
      </c>
      <c r="B455" t="s">
        <v>946</v>
      </c>
      <c r="C455" t="s">
        <v>11</v>
      </c>
      <c r="D455" t="s">
        <v>39</v>
      </c>
      <c r="E455" s="4">
        <v>45488</v>
      </c>
      <c r="F455" s="4">
        <v>45493</v>
      </c>
      <c r="G455" s="1">
        <v>1</v>
      </c>
      <c r="H455" s="1">
        <v>5.75</v>
      </c>
      <c r="I455" t="s">
        <v>13</v>
      </c>
      <c r="J455" t="s">
        <v>2141</v>
      </c>
      <c r="K455" t="s">
        <v>14</v>
      </c>
      <c r="L455" s="1" t="str">
        <f t="shared" si="42"/>
        <v>2024</v>
      </c>
      <c r="M455" t="str">
        <f t="shared" si="43"/>
        <v>Jul</v>
      </c>
      <c r="N455" t="str">
        <f t="shared" si="44"/>
        <v>Mon</v>
      </c>
      <c r="O455" s="1">
        <f t="shared" si="45"/>
        <v>5</v>
      </c>
      <c r="P455" s="1">
        <f t="shared" si="46"/>
        <v>5.75</v>
      </c>
      <c r="Q455" s="1">
        <f>ROUND(G455*H455*VLOOKUP(D455,'Cost Product'!A$1:C$21,3,FALSE),0)</f>
        <v>3</v>
      </c>
      <c r="R455" s="1">
        <f t="shared" si="47"/>
        <v>2.75</v>
      </c>
    </row>
    <row r="456" spans="1:18" x14ac:dyDescent="0.25">
      <c r="A456" s="1" t="s">
        <v>947</v>
      </c>
      <c r="B456" t="s">
        <v>948</v>
      </c>
      <c r="C456" t="s">
        <v>11</v>
      </c>
      <c r="D456" t="s">
        <v>12</v>
      </c>
      <c r="E456" s="4">
        <v>45452</v>
      </c>
      <c r="F456" s="4">
        <v>45453</v>
      </c>
      <c r="G456" s="1">
        <v>2</v>
      </c>
      <c r="H456" s="1">
        <v>6.5</v>
      </c>
      <c r="I456" t="s">
        <v>13</v>
      </c>
      <c r="J456" t="s">
        <v>2146</v>
      </c>
      <c r="K456" t="s">
        <v>28</v>
      </c>
      <c r="L456" s="1" t="str">
        <f t="shared" si="42"/>
        <v>2024</v>
      </c>
      <c r="M456" t="str">
        <f t="shared" si="43"/>
        <v>Jun</v>
      </c>
      <c r="N456" t="str">
        <f t="shared" si="44"/>
        <v>Sun</v>
      </c>
      <c r="O456" s="1">
        <f t="shared" si="45"/>
        <v>1</v>
      </c>
      <c r="P456" s="1">
        <f t="shared" si="46"/>
        <v>13</v>
      </c>
      <c r="Q456" s="1">
        <f>ROUND(G456*H456*VLOOKUP(D456,'Cost Product'!A$1:C$21,3,FALSE),0)</f>
        <v>8</v>
      </c>
      <c r="R456" s="1">
        <f t="shared" si="47"/>
        <v>5</v>
      </c>
    </row>
    <row r="457" spans="1:18" x14ac:dyDescent="0.25">
      <c r="A457" s="1" t="s">
        <v>949</v>
      </c>
      <c r="B457" t="s">
        <v>950</v>
      </c>
      <c r="C457" t="s">
        <v>17</v>
      </c>
      <c r="D457" t="s">
        <v>53</v>
      </c>
      <c r="E457" s="4">
        <v>45502</v>
      </c>
      <c r="F457" s="4">
        <v>45509</v>
      </c>
      <c r="G457" s="1">
        <v>3</v>
      </c>
      <c r="H457" s="1">
        <v>4.75</v>
      </c>
      <c r="I457" t="s">
        <v>13</v>
      </c>
      <c r="J457" t="s">
        <v>2141</v>
      </c>
      <c r="K457" t="s">
        <v>28</v>
      </c>
      <c r="L457" s="1" t="str">
        <f t="shared" si="42"/>
        <v>2024</v>
      </c>
      <c r="M457" t="str">
        <f t="shared" si="43"/>
        <v>Jul</v>
      </c>
      <c r="N457" t="str">
        <f t="shared" si="44"/>
        <v>Mon</v>
      </c>
      <c r="O457" s="1">
        <f t="shared" si="45"/>
        <v>7</v>
      </c>
      <c r="P457" s="1">
        <f t="shared" si="46"/>
        <v>14.25</v>
      </c>
      <c r="Q457" s="1">
        <f>ROUND(G457*H457*VLOOKUP(D457,'Cost Product'!A$1:C$21,3,FALSE),0)</f>
        <v>8</v>
      </c>
      <c r="R457" s="1">
        <f t="shared" si="47"/>
        <v>6.25</v>
      </c>
    </row>
    <row r="458" spans="1:18" x14ac:dyDescent="0.25">
      <c r="A458" s="1" t="s">
        <v>951</v>
      </c>
      <c r="B458" t="s">
        <v>952</v>
      </c>
      <c r="C458" t="s">
        <v>17</v>
      </c>
      <c r="D458" t="s">
        <v>50</v>
      </c>
      <c r="E458" s="4">
        <v>45237</v>
      </c>
      <c r="F458" s="4">
        <v>45244</v>
      </c>
      <c r="G458" s="1">
        <v>5</v>
      </c>
      <c r="H458" s="1">
        <v>5.25</v>
      </c>
      <c r="I458" t="s">
        <v>13</v>
      </c>
      <c r="J458" t="s">
        <v>2144</v>
      </c>
      <c r="K458" t="s">
        <v>19</v>
      </c>
      <c r="L458" s="1" t="str">
        <f t="shared" si="42"/>
        <v>2023</v>
      </c>
      <c r="M458" t="str">
        <f t="shared" si="43"/>
        <v>Nov</v>
      </c>
      <c r="N458" t="str">
        <f t="shared" si="44"/>
        <v>Tue</v>
      </c>
      <c r="O458" s="1">
        <f t="shared" si="45"/>
        <v>7</v>
      </c>
      <c r="P458" s="1">
        <f t="shared" si="46"/>
        <v>26.25</v>
      </c>
      <c r="Q458" s="1">
        <f>ROUND(G458*H458*VLOOKUP(D458,'Cost Product'!A$1:C$21,3,FALSE),0)</f>
        <v>15</v>
      </c>
      <c r="R458" s="1">
        <f t="shared" si="47"/>
        <v>11.25</v>
      </c>
    </row>
    <row r="459" spans="1:18" x14ac:dyDescent="0.25">
      <c r="A459" s="1" t="s">
        <v>953</v>
      </c>
      <c r="B459" t="s">
        <v>954</v>
      </c>
      <c r="C459" t="s">
        <v>26</v>
      </c>
      <c r="D459" t="s">
        <v>27</v>
      </c>
      <c r="E459" s="4">
        <v>45453</v>
      </c>
      <c r="F459" s="4">
        <v>45462</v>
      </c>
      <c r="G459" s="1">
        <v>4</v>
      </c>
      <c r="H459" s="1">
        <v>4.75</v>
      </c>
      <c r="I459" t="s">
        <v>13</v>
      </c>
      <c r="J459" t="s">
        <v>2142</v>
      </c>
      <c r="K459" t="s">
        <v>19</v>
      </c>
      <c r="L459" s="1" t="str">
        <f t="shared" si="42"/>
        <v>2024</v>
      </c>
      <c r="M459" t="str">
        <f t="shared" si="43"/>
        <v>Jun</v>
      </c>
      <c r="N459" t="str">
        <f t="shared" si="44"/>
        <v>Mon</v>
      </c>
      <c r="O459" s="1">
        <f t="shared" si="45"/>
        <v>9</v>
      </c>
      <c r="P459" s="1">
        <f t="shared" si="46"/>
        <v>19</v>
      </c>
      <c r="Q459" s="1">
        <f>ROUND(G459*H459*VLOOKUP(D459,'Cost Product'!A$1:C$21,3,FALSE),0)</f>
        <v>10</v>
      </c>
      <c r="R459" s="1">
        <f t="shared" si="47"/>
        <v>9</v>
      </c>
    </row>
    <row r="460" spans="1:18" x14ac:dyDescent="0.25">
      <c r="A460" s="1" t="s">
        <v>955</v>
      </c>
      <c r="B460" t="s">
        <v>956</v>
      </c>
      <c r="C460" t="s">
        <v>26</v>
      </c>
      <c r="D460" t="s">
        <v>104</v>
      </c>
      <c r="E460" s="4">
        <v>45291</v>
      </c>
      <c r="F460" s="4">
        <v>45296</v>
      </c>
      <c r="G460" s="1">
        <v>1</v>
      </c>
      <c r="H460" s="1">
        <v>4.5</v>
      </c>
      <c r="I460" t="s">
        <v>13</v>
      </c>
      <c r="J460" t="s">
        <v>2145</v>
      </c>
      <c r="K460" t="s">
        <v>28</v>
      </c>
      <c r="L460" s="1" t="str">
        <f t="shared" si="42"/>
        <v>2023</v>
      </c>
      <c r="M460" t="str">
        <f t="shared" si="43"/>
        <v>Dec</v>
      </c>
      <c r="N460" t="str">
        <f t="shared" si="44"/>
        <v>Sun</v>
      </c>
      <c r="O460" s="1">
        <f t="shared" si="45"/>
        <v>5</v>
      </c>
      <c r="P460" s="1">
        <f t="shared" si="46"/>
        <v>4.5</v>
      </c>
      <c r="Q460" s="1">
        <f>ROUND(G460*H460*VLOOKUP(D460,'Cost Product'!A$1:C$21,3,FALSE),0)</f>
        <v>2</v>
      </c>
      <c r="R460" s="1">
        <f t="shared" si="47"/>
        <v>2.5</v>
      </c>
    </row>
    <row r="461" spans="1:18" x14ac:dyDescent="0.25">
      <c r="A461" s="1" t="s">
        <v>957</v>
      </c>
      <c r="B461" t="s">
        <v>958</v>
      </c>
      <c r="C461" t="s">
        <v>22</v>
      </c>
      <c r="D461" t="s">
        <v>59</v>
      </c>
      <c r="E461" s="4">
        <v>45214</v>
      </c>
      <c r="F461" s="4">
        <v>45215</v>
      </c>
      <c r="G461" s="1">
        <v>4</v>
      </c>
      <c r="H461" s="1">
        <v>8.5</v>
      </c>
      <c r="I461" t="s">
        <v>13</v>
      </c>
      <c r="J461" t="s">
        <v>2141</v>
      </c>
      <c r="K461" t="s">
        <v>28</v>
      </c>
      <c r="L461" s="1" t="str">
        <f t="shared" si="42"/>
        <v>2023</v>
      </c>
      <c r="M461" t="str">
        <f t="shared" si="43"/>
        <v>Oct</v>
      </c>
      <c r="N461" t="str">
        <f t="shared" si="44"/>
        <v>Sun</v>
      </c>
      <c r="O461" s="1">
        <f t="shared" si="45"/>
        <v>1</v>
      </c>
      <c r="P461" s="1">
        <f t="shared" si="46"/>
        <v>34</v>
      </c>
      <c r="Q461" s="1">
        <f>ROUND(G461*H461*VLOOKUP(D461,'Cost Product'!A$1:C$21,3,FALSE),0)</f>
        <v>20</v>
      </c>
      <c r="R461" s="1">
        <f t="shared" si="47"/>
        <v>14</v>
      </c>
    </row>
    <row r="462" spans="1:18" x14ac:dyDescent="0.25">
      <c r="A462" s="1" t="s">
        <v>959</v>
      </c>
      <c r="B462" t="s">
        <v>960</v>
      </c>
      <c r="C462" t="s">
        <v>17</v>
      </c>
      <c r="D462" t="s">
        <v>50</v>
      </c>
      <c r="E462" s="4">
        <v>45263</v>
      </c>
      <c r="F462" s="4">
        <v>45267</v>
      </c>
      <c r="G462" s="1">
        <v>4</v>
      </c>
      <c r="H462" s="1">
        <v>5.25</v>
      </c>
      <c r="I462" t="s">
        <v>40</v>
      </c>
      <c r="J462" t="s">
        <v>2141</v>
      </c>
      <c r="K462" t="s">
        <v>19</v>
      </c>
      <c r="L462" s="1" t="str">
        <f t="shared" si="42"/>
        <v>2023</v>
      </c>
      <c r="M462" t="str">
        <f t="shared" si="43"/>
        <v>Dec</v>
      </c>
      <c r="N462" t="str">
        <f t="shared" si="44"/>
        <v>Sun</v>
      </c>
      <c r="O462" s="1">
        <f t="shared" si="45"/>
        <v>4</v>
      </c>
      <c r="P462" s="1">
        <f t="shared" si="46"/>
        <v>21</v>
      </c>
      <c r="Q462" s="1">
        <f>ROUND(G462*H462*VLOOKUP(D462,'Cost Product'!A$1:C$21,3,FALSE),0)</f>
        <v>12</v>
      </c>
      <c r="R462" s="1">
        <f t="shared" si="47"/>
        <v>9</v>
      </c>
    </row>
    <row r="463" spans="1:18" x14ac:dyDescent="0.25">
      <c r="A463" s="1" t="s">
        <v>961</v>
      </c>
      <c r="B463" t="s">
        <v>962</v>
      </c>
      <c r="C463" t="s">
        <v>17</v>
      </c>
      <c r="D463" t="s">
        <v>50</v>
      </c>
      <c r="E463" s="4">
        <v>45516</v>
      </c>
      <c r="F463" s="4">
        <v>45519</v>
      </c>
      <c r="G463" s="1">
        <v>4</v>
      </c>
      <c r="H463" s="1">
        <v>5.25</v>
      </c>
      <c r="I463" t="s">
        <v>13</v>
      </c>
      <c r="J463" t="s">
        <v>2142</v>
      </c>
      <c r="K463" t="s">
        <v>14</v>
      </c>
      <c r="L463" s="1" t="str">
        <f t="shared" si="42"/>
        <v>2024</v>
      </c>
      <c r="M463" t="str">
        <f t="shared" si="43"/>
        <v>Aug</v>
      </c>
      <c r="N463" t="str">
        <f t="shared" si="44"/>
        <v>Mon</v>
      </c>
      <c r="O463" s="1">
        <f t="shared" si="45"/>
        <v>3</v>
      </c>
      <c r="P463" s="1">
        <f t="shared" si="46"/>
        <v>21</v>
      </c>
      <c r="Q463" s="1">
        <f>ROUND(G463*H463*VLOOKUP(D463,'Cost Product'!A$1:C$21,3,FALSE),0)</f>
        <v>12</v>
      </c>
      <c r="R463" s="1">
        <f t="shared" si="47"/>
        <v>9</v>
      </c>
    </row>
    <row r="464" spans="1:18" x14ac:dyDescent="0.25">
      <c r="A464" s="1" t="s">
        <v>963</v>
      </c>
      <c r="B464" t="s">
        <v>964</v>
      </c>
      <c r="C464" t="s">
        <v>26</v>
      </c>
      <c r="D464" t="s">
        <v>45</v>
      </c>
      <c r="E464" s="4">
        <v>45202</v>
      </c>
      <c r="F464" s="4">
        <v>45205</v>
      </c>
      <c r="G464" s="1">
        <v>2</v>
      </c>
      <c r="H464" s="1">
        <v>4.5</v>
      </c>
      <c r="I464" t="s">
        <v>13</v>
      </c>
      <c r="J464" t="s">
        <v>2141</v>
      </c>
      <c r="K464" t="s">
        <v>14</v>
      </c>
      <c r="L464" s="1" t="str">
        <f t="shared" si="42"/>
        <v>2023</v>
      </c>
      <c r="M464" t="str">
        <f t="shared" si="43"/>
        <v>Oct</v>
      </c>
      <c r="N464" t="str">
        <f t="shared" si="44"/>
        <v>Tue</v>
      </c>
      <c r="O464" s="1">
        <f t="shared" si="45"/>
        <v>3</v>
      </c>
      <c r="P464" s="1">
        <f t="shared" si="46"/>
        <v>9</v>
      </c>
      <c r="Q464" s="1">
        <f>ROUND(G464*H464*VLOOKUP(D464,'Cost Product'!A$1:C$21,3,FALSE),0)</f>
        <v>5</v>
      </c>
      <c r="R464" s="1">
        <f t="shared" si="47"/>
        <v>4</v>
      </c>
    </row>
    <row r="465" spans="1:18" x14ac:dyDescent="0.25">
      <c r="A465" s="1" t="s">
        <v>965</v>
      </c>
      <c r="B465" t="s">
        <v>966</v>
      </c>
      <c r="C465" t="s">
        <v>22</v>
      </c>
      <c r="D465" t="s">
        <v>23</v>
      </c>
      <c r="E465" s="4">
        <v>45387</v>
      </c>
      <c r="F465" s="4">
        <v>45388</v>
      </c>
      <c r="G465" s="1">
        <v>5</v>
      </c>
      <c r="H465" s="1">
        <v>10</v>
      </c>
      <c r="I465" t="s">
        <v>13</v>
      </c>
      <c r="J465" t="s">
        <v>2142</v>
      </c>
      <c r="K465" t="s">
        <v>28</v>
      </c>
      <c r="L465" s="1" t="str">
        <f t="shared" si="42"/>
        <v>2024</v>
      </c>
      <c r="M465" t="str">
        <f t="shared" si="43"/>
        <v>Apr</v>
      </c>
      <c r="N465" t="str">
        <f t="shared" si="44"/>
        <v>Fri</v>
      </c>
      <c r="O465" s="1">
        <f t="shared" si="45"/>
        <v>1</v>
      </c>
      <c r="P465" s="1">
        <f t="shared" si="46"/>
        <v>50</v>
      </c>
      <c r="Q465" s="1">
        <f>ROUND(G465*H465*VLOOKUP(D465,'Cost Product'!A$1:C$21,3,FALSE),0)</f>
        <v>33</v>
      </c>
      <c r="R465" s="1">
        <f t="shared" si="47"/>
        <v>17</v>
      </c>
    </row>
    <row r="466" spans="1:18" x14ac:dyDescent="0.25">
      <c r="A466" s="1" t="s">
        <v>967</v>
      </c>
      <c r="B466" t="s">
        <v>968</v>
      </c>
      <c r="C466" t="s">
        <v>11</v>
      </c>
      <c r="D466" t="s">
        <v>39</v>
      </c>
      <c r="E466" s="4">
        <v>45143</v>
      </c>
      <c r="F466" s="4">
        <v>45151</v>
      </c>
      <c r="G466" s="1">
        <v>1</v>
      </c>
      <c r="H466" s="1">
        <v>5.75</v>
      </c>
      <c r="I466" t="s">
        <v>13</v>
      </c>
      <c r="J466" t="s">
        <v>2141</v>
      </c>
      <c r="K466" t="s">
        <v>19</v>
      </c>
      <c r="L466" s="1" t="str">
        <f t="shared" si="42"/>
        <v>2023</v>
      </c>
      <c r="M466" t="str">
        <f t="shared" si="43"/>
        <v>Aug</v>
      </c>
      <c r="N466" t="str">
        <f t="shared" si="44"/>
        <v>Sat</v>
      </c>
      <c r="O466" s="1">
        <f t="shared" si="45"/>
        <v>8</v>
      </c>
      <c r="P466" s="1">
        <f t="shared" si="46"/>
        <v>5.75</v>
      </c>
      <c r="Q466" s="1">
        <f>ROUND(G466*H466*VLOOKUP(D466,'Cost Product'!A$1:C$21,3,FALSE),0)</f>
        <v>3</v>
      </c>
      <c r="R466" s="1">
        <f t="shared" si="47"/>
        <v>2.75</v>
      </c>
    </row>
    <row r="467" spans="1:18" x14ac:dyDescent="0.25">
      <c r="A467" s="1" t="s">
        <v>969</v>
      </c>
      <c r="B467" t="s">
        <v>970</v>
      </c>
      <c r="C467" t="s">
        <v>65</v>
      </c>
      <c r="D467" t="s">
        <v>66</v>
      </c>
      <c r="E467" s="4">
        <v>45369</v>
      </c>
      <c r="F467" s="4">
        <v>45374</v>
      </c>
      <c r="G467" s="1">
        <v>1</v>
      </c>
      <c r="H467" s="1">
        <v>3.5</v>
      </c>
      <c r="I467" t="s">
        <v>13</v>
      </c>
      <c r="J467" t="s">
        <v>2145</v>
      </c>
      <c r="K467" t="s">
        <v>28</v>
      </c>
      <c r="L467" s="1" t="str">
        <f t="shared" si="42"/>
        <v>2024</v>
      </c>
      <c r="M467" t="str">
        <f t="shared" si="43"/>
        <v>Mar</v>
      </c>
      <c r="N467" t="str">
        <f t="shared" si="44"/>
        <v>Mon</v>
      </c>
      <c r="O467" s="1">
        <f t="shared" si="45"/>
        <v>5</v>
      </c>
      <c r="P467" s="1">
        <f t="shared" si="46"/>
        <v>3.5</v>
      </c>
      <c r="Q467" s="1">
        <f>ROUND(G467*H467*VLOOKUP(D467,'Cost Product'!A$1:C$21,3,FALSE),0)</f>
        <v>2</v>
      </c>
      <c r="R467" s="1">
        <f t="shared" si="47"/>
        <v>1.5</v>
      </c>
    </row>
    <row r="468" spans="1:18" x14ac:dyDescent="0.25">
      <c r="A468" s="1" t="s">
        <v>971</v>
      </c>
      <c r="B468" t="s">
        <v>972</v>
      </c>
      <c r="C468" t="s">
        <v>22</v>
      </c>
      <c r="D468" t="s">
        <v>62</v>
      </c>
      <c r="E468" s="4">
        <v>45467</v>
      </c>
      <c r="F468" s="4">
        <v>45470</v>
      </c>
      <c r="G468" s="1">
        <v>2</v>
      </c>
      <c r="H468" s="1">
        <v>8</v>
      </c>
      <c r="I468" t="s">
        <v>13</v>
      </c>
      <c r="J468" t="s">
        <v>2141</v>
      </c>
      <c r="K468" t="s">
        <v>14</v>
      </c>
      <c r="L468" s="1" t="str">
        <f t="shared" si="42"/>
        <v>2024</v>
      </c>
      <c r="M468" t="str">
        <f t="shared" si="43"/>
        <v>Jun</v>
      </c>
      <c r="N468" t="str">
        <f t="shared" si="44"/>
        <v>Mon</v>
      </c>
      <c r="O468" s="1">
        <f t="shared" si="45"/>
        <v>3</v>
      </c>
      <c r="P468" s="1">
        <f t="shared" si="46"/>
        <v>16</v>
      </c>
      <c r="Q468" s="1">
        <f>ROUND(G468*H468*VLOOKUP(D468,'Cost Product'!A$1:C$21,3,FALSE),0)</f>
        <v>9</v>
      </c>
      <c r="R468" s="1">
        <f t="shared" si="47"/>
        <v>7</v>
      </c>
    </row>
    <row r="469" spans="1:18" x14ac:dyDescent="0.25">
      <c r="A469" s="1" t="s">
        <v>973</v>
      </c>
      <c r="B469" t="s">
        <v>974</v>
      </c>
      <c r="C469" t="s">
        <v>22</v>
      </c>
      <c r="D469" t="s">
        <v>62</v>
      </c>
      <c r="E469" s="4">
        <v>45140</v>
      </c>
      <c r="F469" s="4">
        <v>45143</v>
      </c>
      <c r="G469" s="1">
        <v>2</v>
      </c>
      <c r="H469" s="1">
        <v>8</v>
      </c>
      <c r="I469" t="s">
        <v>13</v>
      </c>
      <c r="J469" t="s">
        <v>2141</v>
      </c>
      <c r="K469" t="s">
        <v>28</v>
      </c>
      <c r="L469" s="1" t="str">
        <f t="shared" si="42"/>
        <v>2023</v>
      </c>
      <c r="M469" t="str">
        <f t="shared" si="43"/>
        <v>Aug</v>
      </c>
      <c r="N469" t="str">
        <f t="shared" si="44"/>
        <v>Wed</v>
      </c>
      <c r="O469" s="1">
        <f t="shared" si="45"/>
        <v>3</v>
      </c>
      <c r="P469" s="1">
        <f t="shared" si="46"/>
        <v>16</v>
      </c>
      <c r="Q469" s="1">
        <f>ROUND(G469*H469*VLOOKUP(D469,'Cost Product'!A$1:C$21,3,FALSE),0)</f>
        <v>9</v>
      </c>
      <c r="R469" s="1">
        <f t="shared" si="47"/>
        <v>7</v>
      </c>
    </row>
    <row r="470" spans="1:18" x14ac:dyDescent="0.25">
      <c r="A470" s="1" t="s">
        <v>975</v>
      </c>
      <c r="B470" t="s">
        <v>976</v>
      </c>
      <c r="C470" t="s">
        <v>65</v>
      </c>
      <c r="D470" t="s">
        <v>115</v>
      </c>
      <c r="E470" s="4">
        <v>45369</v>
      </c>
      <c r="F470" s="4">
        <v>45371</v>
      </c>
      <c r="G470" s="1">
        <v>3</v>
      </c>
      <c r="H470" s="1">
        <v>3</v>
      </c>
      <c r="I470" t="s">
        <v>13</v>
      </c>
      <c r="J470" t="s">
        <v>2143</v>
      </c>
      <c r="K470" t="s">
        <v>14</v>
      </c>
      <c r="L470" s="1" t="str">
        <f t="shared" si="42"/>
        <v>2024</v>
      </c>
      <c r="M470" t="str">
        <f t="shared" si="43"/>
        <v>Mar</v>
      </c>
      <c r="N470" t="str">
        <f t="shared" si="44"/>
        <v>Mon</v>
      </c>
      <c r="O470" s="1">
        <f t="shared" si="45"/>
        <v>2</v>
      </c>
      <c r="P470" s="1">
        <f t="shared" si="46"/>
        <v>9</v>
      </c>
      <c r="Q470" s="1">
        <f>ROUND(G470*H470*VLOOKUP(D470,'Cost Product'!A$1:C$21,3,FALSE),0)</f>
        <v>4</v>
      </c>
      <c r="R470" s="1">
        <f t="shared" si="47"/>
        <v>5</v>
      </c>
    </row>
    <row r="471" spans="1:18" x14ac:dyDescent="0.25">
      <c r="A471" s="1" t="s">
        <v>977</v>
      </c>
      <c r="B471" t="s">
        <v>978</v>
      </c>
      <c r="C471" t="s">
        <v>11</v>
      </c>
      <c r="D471" t="s">
        <v>31</v>
      </c>
      <c r="E471" s="4">
        <v>45162</v>
      </c>
      <c r="F471" s="4">
        <v>45165</v>
      </c>
      <c r="G471" s="1">
        <v>5</v>
      </c>
      <c r="H471" s="1">
        <v>5.5</v>
      </c>
      <c r="I471" t="s">
        <v>13</v>
      </c>
      <c r="J471" t="s">
        <v>2141</v>
      </c>
      <c r="K471" t="s">
        <v>19</v>
      </c>
      <c r="L471" s="1" t="str">
        <f t="shared" si="42"/>
        <v>2023</v>
      </c>
      <c r="M471" t="str">
        <f t="shared" si="43"/>
        <v>Aug</v>
      </c>
      <c r="N471" t="str">
        <f t="shared" si="44"/>
        <v>Thu</v>
      </c>
      <c r="O471" s="1">
        <f t="shared" si="45"/>
        <v>3</v>
      </c>
      <c r="P471" s="1">
        <f t="shared" si="46"/>
        <v>27.5</v>
      </c>
      <c r="Q471" s="1">
        <f>ROUND(G471*H471*VLOOKUP(D471,'Cost Product'!A$1:C$21,3,FALSE),0)</f>
        <v>14</v>
      </c>
      <c r="R471" s="1">
        <f t="shared" si="47"/>
        <v>13.5</v>
      </c>
    </row>
    <row r="472" spans="1:18" x14ac:dyDescent="0.25">
      <c r="A472" s="1" t="s">
        <v>979</v>
      </c>
      <c r="B472" t="s">
        <v>980</v>
      </c>
      <c r="C472" t="s">
        <v>65</v>
      </c>
      <c r="D472" t="s">
        <v>99</v>
      </c>
      <c r="E472" s="4">
        <v>45486</v>
      </c>
      <c r="F472" s="4">
        <v>45488</v>
      </c>
      <c r="G472" s="1">
        <v>2</v>
      </c>
      <c r="H472" s="1">
        <v>4</v>
      </c>
      <c r="I472" t="s">
        <v>13</v>
      </c>
      <c r="J472" t="s">
        <v>2141</v>
      </c>
      <c r="K472" t="s">
        <v>28</v>
      </c>
      <c r="L472" s="1" t="str">
        <f t="shared" si="42"/>
        <v>2024</v>
      </c>
      <c r="M472" t="str">
        <f t="shared" si="43"/>
        <v>Jul</v>
      </c>
      <c r="N472" t="str">
        <f t="shared" si="44"/>
        <v>Sat</v>
      </c>
      <c r="O472" s="1">
        <f t="shared" si="45"/>
        <v>2</v>
      </c>
      <c r="P472" s="1">
        <f t="shared" si="46"/>
        <v>8</v>
      </c>
      <c r="Q472" s="1">
        <f>ROUND(G472*H472*VLOOKUP(D472,'Cost Product'!A$1:C$21,3,FALSE),0)</f>
        <v>4</v>
      </c>
      <c r="R472" s="1">
        <f t="shared" si="47"/>
        <v>4</v>
      </c>
    </row>
    <row r="473" spans="1:18" x14ac:dyDescent="0.25">
      <c r="A473" s="1" t="s">
        <v>981</v>
      </c>
      <c r="B473" t="s">
        <v>982</v>
      </c>
      <c r="C473" t="s">
        <v>26</v>
      </c>
      <c r="D473" t="s">
        <v>82</v>
      </c>
      <c r="E473" s="4">
        <v>45483</v>
      </c>
      <c r="F473" s="4">
        <v>45485</v>
      </c>
      <c r="G473" s="1">
        <v>1</v>
      </c>
      <c r="H473" s="1">
        <v>4.25</v>
      </c>
      <c r="I473" t="s">
        <v>13</v>
      </c>
      <c r="J473" t="s">
        <v>2144</v>
      </c>
      <c r="K473" t="s">
        <v>14</v>
      </c>
      <c r="L473" s="1" t="str">
        <f t="shared" si="42"/>
        <v>2024</v>
      </c>
      <c r="M473" t="str">
        <f t="shared" si="43"/>
        <v>Jul</v>
      </c>
      <c r="N473" t="str">
        <f t="shared" si="44"/>
        <v>Wed</v>
      </c>
      <c r="O473" s="1">
        <f t="shared" si="45"/>
        <v>2</v>
      </c>
      <c r="P473" s="1">
        <f t="shared" si="46"/>
        <v>4.25</v>
      </c>
      <c r="Q473" s="1">
        <f>ROUND(G473*H473*VLOOKUP(D473,'Cost Product'!A$1:C$21,3,FALSE),0)</f>
        <v>2</v>
      </c>
      <c r="R473" s="1">
        <f t="shared" si="47"/>
        <v>2.25</v>
      </c>
    </row>
    <row r="474" spans="1:18" x14ac:dyDescent="0.25">
      <c r="A474" s="1" t="s">
        <v>983</v>
      </c>
      <c r="B474" t="s">
        <v>984</v>
      </c>
      <c r="C474" t="s">
        <v>11</v>
      </c>
      <c r="D474" t="s">
        <v>31</v>
      </c>
      <c r="E474" s="4">
        <v>45461</v>
      </c>
      <c r="F474" s="4">
        <v>45473</v>
      </c>
      <c r="G474" s="1">
        <v>2</v>
      </c>
      <c r="H474" s="1">
        <v>5.5</v>
      </c>
      <c r="I474" t="s">
        <v>13</v>
      </c>
      <c r="J474" t="s">
        <v>2145</v>
      </c>
      <c r="K474" t="s">
        <v>19</v>
      </c>
      <c r="L474" s="1" t="str">
        <f t="shared" si="42"/>
        <v>2024</v>
      </c>
      <c r="M474" t="str">
        <f t="shared" si="43"/>
        <v>Jun</v>
      </c>
      <c r="N474" t="str">
        <f t="shared" si="44"/>
        <v>Tue</v>
      </c>
      <c r="O474" s="1">
        <f t="shared" si="45"/>
        <v>12</v>
      </c>
      <c r="P474" s="1">
        <f t="shared" si="46"/>
        <v>11</v>
      </c>
      <c r="Q474" s="1">
        <f>ROUND(G474*H474*VLOOKUP(D474,'Cost Product'!A$1:C$21,3,FALSE),0)</f>
        <v>6</v>
      </c>
      <c r="R474" s="1">
        <f t="shared" si="47"/>
        <v>5</v>
      </c>
    </row>
    <row r="475" spans="1:18" x14ac:dyDescent="0.25">
      <c r="A475" s="1" t="s">
        <v>985</v>
      </c>
      <c r="B475" t="s">
        <v>986</v>
      </c>
      <c r="C475" t="s">
        <v>17</v>
      </c>
      <c r="D475" t="s">
        <v>18</v>
      </c>
      <c r="E475" s="4">
        <v>45278</v>
      </c>
      <c r="F475" s="4">
        <v>45280</v>
      </c>
      <c r="G475" s="1">
        <v>3</v>
      </c>
      <c r="H475" s="1">
        <v>5.5</v>
      </c>
      <c r="I475" t="s">
        <v>13</v>
      </c>
      <c r="J475" t="s">
        <v>2145</v>
      </c>
      <c r="K475" t="s">
        <v>28</v>
      </c>
      <c r="L475" s="1" t="str">
        <f t="shared" si="42"/>
        <v>2023</v>
      </c>
      <c r="M475" t="str">
        <f t="shared" si="43"/>
        <v>Dec</v>
      </c>
      <c r="N475" t="str">
        <f t="shared" si="44"/>
        <v>Mon</v>
      </c>
      <c r="O475" s="1">
        <f t="shared" si="45"/>
        <v>2</v>
      </c>
      <c r="P475" s="1">
        <f t="shared" si="46"/>
        <v>16.5</v>
      </c>
      <c r="Q475" s="1">
        <f>ROUND(G475*H475*VLOOKUP(D475,'Cost Product'!A$1:C$21,3,FALSE),0)</f>
        <v>10</v>
      </c>
      <c r="R475" s="1">
        <f t="shared" si="47"/>
        <v>6.5</v>
      </c>
    </row>
    <row r="476" spans="1:18" x14ac:dyDescent="0.25">
      <c r="A476" s="1" t="s">
        <v>987</v>
      </c>
      <c r="B476" t="s">
        <v>988</v>
      </c>
      <c r="C476" t="s">
        <v>65</v>
      </c>
      <c r="D476" t="s">
        <v>66</v>
      </c>
      <c r="E476" s="4">
        <v>45382</v>
      </c>
      <c r="F476" s="4">
        <v>45384</v>
      </c>
      <c r="G476" s="1">
        <v>5</v>
      </c>
      <c r="H476" s="1">
        <v>3.5</v>
      </c>
      <c r="I476" t="s">
        <v>40</v>
      </c>
      <c r="J476" t="s">
        <v>2143</v>
      </c>
      <c r="K476" t="s">
        <v>19</v>
      </c>
      <c r="L476" s="1" t="str">
        <f t="shared" si="42"/>
        <v>2024</v>
      </c>
      <c r="M476" t="str">
        <f t="shared" si="43"/>
        <v>Mar</v>
      </c>
      <c r="N476" t="str">
        <f t="shared" si="44"/>
        <v>Sun</v>
      </c>
      <c r="O476" s="1">
        <f t="shared" si="45"/>
        <v>2</v>
      </c>
      <c r="P476" s="1">
        <f t="shared" si="46"/>
        <v>17.5</v>
      </c>
      <c r="Q476" s="1">
        <f>ROUND(G476*H476*VLOOKUP(D476,'Cost Product'!A$1:C$21,3,FALSE),0)</f>
        <v>8</v>
      </c>
      <c r="R476" s="1">
        <f t="shared" si="47"/>
        <v>9.5</v>
      </c>
    </row>
    <row r="477" spans="1:18" x14ac:dyDescent="0.25">
      <c r="A477" s="1" t="s">
        <v>989</v>
      </c>
      <c r="B477" t="s">
        <v>990</v>
      </c>
      <c r="C477" t="s">
        <v>65</v>
      </c>
      <c r="D477" t="s">
        <v>99</v>
      </c>
      <c r="E477" s="4">
        <v>45296</v>
      </c>
      <c r="F477" s="4">
        <v>45299</v>
      </c>
      <c r="G477" s="1">
        <v>3</v>
      </c>
      <c r="H477" s="1">
        <v>4</v>
      </c>
      <c r="I477" t="s">
        <v>13</v>
      </c>
      <c r="J477" t="s">
        <v>2142</v>
      </c>
      <c r="K477" t="s">
        <v>19</v>
      </c>
      <c r="L477" s="1" t="str">
        <f t="shared" si="42"/>
        <v>2024</v>
      </c>
      <c r="M477" t="str">
        <f t="shared" si="43"/>
        <v>Jan</v>
      </c>
      <c r="N477" t="str">
        <f t="shared" si="44"/>
        <v>Fri</v>
      </c>
      <c r="O477" s="1">
        <f t="shared" si="45"/>
        <v>3</v>
      </c>
      <c r="P477" s="1">
        <f t="shared" si="46"/>
        <v>12</v>
      </c>
      <c r="Q477" s="1">
        <f>ROUND(G477*H477*VLOOKUP(D477,'Cost Product'!A$1:C$21,3,FALSE),0)</f>
        <v>6</v>
      </c>
      <c r="R477" s="1">
        <f t="shared" si="47"/>
        <v>6</v>
      </c>
    </row>
    <row r="478" spans="1:18" x14ac:dyDescent="0.25">
      <c r="A478" s="1" t="s">
        <v>991</v>
      </c>
      <c r="B478" t="s">
        <v>992</v>
      </c>
      <c r="C478" t="s">
        <v>65</v>
      </c>
      <c r="D478" t="s">
        <v>115</v>
      </c>
      <c r="E478" s="4">
        <v>45456</v>
      </c>
      <c r="F478" s="4">
        <v>45461</v>
      </c>
      <c r="G478" s="1">
        <v>2</v>
      </c>
      <c r="H478" s="1">
        <v>3</v>
      </c>
      <c r="I478" t="s">
        <v>13</v>
      </c>
      <c r="J478" t="s">
        <v>2141</v>
      </c>
      <c r="K478" t="s">
        <v>19</v>
      </c>
      <c r="L478" s="1" t="str">
        <f t="shared" si="42"/>
        <v>2024</v>
      </c>
      <c r="M478" t="str">
        <f t="shared" si="43"/>
        <v>Jun</v>
      </c>
      <c r="N478" t="str">
        <f t="shared" si="44"/>
        <v>Thu</v>
      </c>
      <c r="O478" s="1">
        <f t="shared" si="45"/>
        <v>5</v>
      </c>
      <c r="P478" s="1">
        <f t="shared" si="46"/>
        <v>6</v>
      </c>
      <c r="Q478" s="1">
        <f>ROUND(G478*H478*VLOOKUP(D478,'Cost Product'!A$1:C$21,3,FALSE),0)</f>
        <v>3</v>
      </c>
      <c r="R478" s="1">
        <f t="shared" si="47"/>
        <v>3</v>
      </c>
    </row>
    <row r="479" spans="1:18" x14ac:dyDescent="0.25">
      <c r="A479" s="1" t="s">
        <v>993</v>
      </c>
      <c r="B479" t="s">
        <v>994</v>
      </c>
      <c r="C479" t="s">
        <v>26</v>
      </c>
      <c r="D479" t="s">
        <v>82</v>
      </c>
      <c r="E479" s="4">
        <v>45468</v>
      </c>
      <c r="F479" s="4">
        <v>45473</v>
      </c>
      <c r="G479" s="1">
        <v>4</v>
      </c>
      <c r="H479" s="1">
        <v>4.25</v>
      </c>
      <c r="I479" t="s">
        <v>13</v>
      </c>
      <c r="J479" t="s">
        <v>2144</v>
      </c>
      <c r="K479" t="s">
        <v>28</v>
      </c>
      <c r="L479" s="1" t="str">
        <f t="shared" si="42"/>
        <v>2024</v>
      </c>
      <c r="M479" t="str">
        <f t="shared" si="43"/>
        <v>Jun</v>
      </c>
      <c r="N479" t="str">
        <f t="shared" si="44"/>
        <v>Tue</v>
      </c>
      <c r="O479" s="1">
        <f t="shared" si="45"/>
        <v>5</v>
      </c>
      <c r="P479" s="1">
        <f t="shared" si="46"/>
        <v>17</v>
      </c>
      <c r="Q479" s="1">
        <f>ROUND(G479*H479*VLOOKUP(D479,'Cost Product'!A$1:C$21,3,FALSE),0)</f>
        <v>8</v>
      </c>
      <c r="R479" s="1">
        <f t="shared" si="47"/>
        <v>9</v>
      </c>
    </row>
    <row r="480" spans="1:18" x14ac:dyDescent="0.25">
      <c r="A480" s="1" t="s">
        <v>995</v>
      </c>
      <c r="B480" t="s">
        <v>996</v>
      </c>
      <c r="C480" t="s">
        <v>65</v>
      </c>
      <c r="D480" t="s">
        <v>99</v>
      </c>
      <c r="E480" s="4">
        <v>45458</v>
      </c>
      <c r="F480" s="4">
        <v>45459</v>
      </c>
      <c r="G480" s="1">
        <v>2</v>
      </c>
      <c r="H480" s="1">
        <v>4</v>
      </c>
      <c r="I480" t="s">
        <v>13</v>
      </c>
      <c r="J480" t="s">
        <v>2145</v>
      </c>
      <c r="K480" t="s">
        <v>14</v>
      </c>
      <c r="L480" s="1" t="str">
        <f t="shared" si="42"/>
        <v>2024</v>
      </c>
      <c r="M480" t="str">
        <f t="shared" si="43"/>
        <v>Jun</v>
      </c>
      <c r="N480" t="str">
        <f t="shared" si="44"/>
        <v>Sat</v>
      </c>
      <c r="O480" s="1">
        <f t="shared" si="45"/>
        <v>1</v>
      </c>
      <c r="P480" s="1">
        <f t="shared" si="46"/>
        <v>8</v>
      </c>
      <c r="Q480" s="1">
        <f>ROUND(G480*H480*VLOOKUP(D480,'Cost Product'!A$1:C$21,3,FALSE),0)</f>
        <v>4</v>
      </c>
      <c r="R480" s="1">
        <f t="shared" si="47"/>
        <v>4</v>
      </c>
    </row>
    <row r="481" spans="1:18" x14ac:dyDescent="0.25">
      <c r="A481" s="1" t="s">
        <v>997</v>
      </c>
      <c r="B481" t="s">
        <v>998</v>
      </c>
      <c r="C481" t="s">
        <v>26</v>
      </c>
      <c r="D481" t="s">
        <v>82</v>
      </c>
      <c r="E481" s="4">
        <v>45237</v>
      </c>
      <c r="F481" s="4">
        <v>45238</v>
      </c>
      <c r="G481" s="1">
        <v>1</v>
      </c>
      <c r="H481" s="1">
        <v>4.25</v>
      </c>
      <c r="I481" t="s">
        <v>13</v>
      </c>
      <c r="J481" t="s">
        <v>2141</v>
      </c>
      <c r="K481" t="s">
        <v>14</v>
      </c>
      <c r="L481" s="1" t="str">
        <f t="shared" si="42"/>
        <v>2023</v>
      </c>
      <c r="M481" t="str">
        <f t="shared" si="43"/>
        <v>Nov</v>
      </c>
      <c r="N481" t="str">
        <f t="shared" si="44"/>
        <v>Tue</v>
      </c>
      <c r="O481" s="1">
        <f t="shared" si="45"/>
        <v>1</v>
      </c>
      <c r="P481" s="1">
        <f t="shared" si="46"/>
        <v>4.25</v>
      </c>
      <c r="Q481" s="1">
        <f>ROUND(G481*H481*VLOOKUP(D481,'Cost Product'!A$1:C$21,3,FALSE),0)</f>
        <v>2</v>
      </c>
      <c r="R481" s="1">
        <f t="shared" si="47"/>
        <v>2.25</v>
      </c>
    </row>
    <row r="482" spans="1:18" x14ac:dyDescent="0.25">
      <c r="A482" s="1" t="s">
        <v>999</v>
      </c>
      <c r="B482" t="s">
        <v>1000</v>
      </c>
      <c r="C482" t="s">
        <v>22</v>
      </c>
      <c r="D482" t="s">
        <v>56</v>
      </c>
      <c r="E482" s="4">
        <v>45592</v>
      </c>
      <c r="F482" s="4">
        <v>45595</v>
      </c>
      <c r="G482" s="1">
        <v>1</v>
      </c>
      <c r="H482" s="1">
        <v>8.75</v>
      </c>
      <c r="I482" t="s">
        <v>13</v>
      </c>
      <c r="J482" t="s">
        <v>2141</v>
      </c>
      <c r="K482" t="s">
        <v>19</v>
      </c>
      <c r="L482" s="1" t="str">
        <f t="shared" si="42"/>
        <v>2024</v>
      </c>
      <c r="M482" t="str">
        <f t="shared" si="43"/>
        <v>Oct</v>
      </c>
      <c r="N482" t="str">
        <f t="shared" si="44"/>
        <v>Sun</v>
      </c>
      <c r="O482" s="1">
        <f t="shared" si="45"/>
        <v>3</v>
      </c>
      <c r="P482" s="1">
        <f t="shared" si="46"/>
        <v>8.75</v>
      </c>
      <c r="Q482" s="1">
        <f>ROUND(G482*H482*VLOOKUP(D482,'Cost Product'!A$1:C$21,3,FALSE),0)</f>
        <v>5</v>
      </c>
      <c r="R482" s="1">
        <f t="shared" si="47"/>
        <v>3.75</v>
      </c>
    </row>
    <row r="483" spans="1:18" x14ac:dyDescent="0.25">
      <c r="A483" s="1" t="s">
        <v>1001</v>
      </c>
      <c r="B483" t="s">
        <v>1002</v>
      </c>
      <c r="C483" t="s">
        <v>11</v>
      </c>
      <c r="D483" t="s">
        <v>31</v>
      </c>
      <c r="E483" s="4">
        <v>45518</v>
      </c>
      <c r="F483" s="4">
        <v>45520</v>
      </c>
      <c r="G483" s="1">
        <v>5</v>
      </c>
      <c r="H483" s="1">
        <v>5.5</v>
      </c>
      <c r="I483" t="s">
        <v>13</v>
      </c>
      <c r="J483" t="s">
        <v>2144</v>
      </c>
      <c r="K483" t="s">
        <v>19</v>
      </c>
      <c r="L483" s="1" t="str">
        <f t="shared" si="42"/>
        <v>2024</v>
      </c>
      <c r="M483" t="str">
        <f t="shared" si="43"/>
        <v>Aug</v>
      </c>
      <c r="N483" t="str">
        <f t="shared" si="44"/>
        <v>Wed</v>
      </c>
      <c r="O483" s="1">
        <f t="shared" si="45"/>
        <v>2</v>
      </c>
      <c r="P483" s="1">
        <f t="shared" si="46"/>
        <v>27.5</v>
      </c>
      <c r="Q483" s="1">
        <f>ROUND(G483*H483*VLOOKUP(D483,'Cost Product'!A$1:C$21,3,FALSE),0)</f>
        <v>14</v>
      </c>
      <c r="R483" s="1">
        <f t="shared" si="47"/>
        <v>13.5</v>
      </c>
    </row>
    <row r="484" spans="1:18" x14ac:dyDescent="0.25">
      <c r="A484" s="1" t="s">
        <v>1003</v>
      </c>
      <c r="B484" t="s">
        <v>1004</v>
      </c>
      <c r="C484" t="s">
        <v>11</v>
      </c>
      <c r="D484" t="s">
        <v>31</v>
      </c>
      <c r="E484" s="4">
        <v>45552</v>
      </c>
      <c r="F484" s="4">
        <v>45557</v>
      </c>
      <c r="G484" s="1">
        <v>1</v>
      </c>
      <c r="H484" s="1">
        <v>5.5</v>
      </c>
      <c r="I484" t="s">
        <v>13</v>
      </c>
      <c r="J484" t="s">
        <v>2141</v>
      </c>
      <c r="K484" t="s">
        <v>14</v>
      </c>
      <c r="L484" s="1" t="str">
        <f t="shared" si="42"/>
        <v>2024</v>
      </c>
      <c r="M484" t="str">
        <f t="shared" si="43"/>
        <v>Sep</v>
      </c>
      <c r="N484" t="str">
        <f t="shared" si="44"/>
        <v>Tue</v>
      </c>
      <c r="O484" s="1">
        <f t="shared" si="45"/>
        <v>5</v>
      </c>
      <c r="P484" s="1">
        <f t="shared" si="46"/>
        <v>5.5</v>
      </c>
      <c r="Q484" s="1">
        <f>ROUND(G484*H484*VLOOKUP(D484,'Cost Product'!A$1:C$21,3,FALSE),0)</f>
        <v>3</v>
      </c>
      <c r="R484" s="1">
        <f t="shared" si="47"/>
        <v>2.5</v>
      </c>
    </row>
    <row r="485" spans="1:18" x14ac:dyDescent="0.25">
      <c r="A485" s="1" t="s">
        <v>1005</v>
      </c>
      <c r="B485" t="s">
        <v>1006</v>
      </c>
      <c r="C485" t="s">
        <v>22</v>
      </c>
      <c r="D485" t="s">
        <v>62</v>
      </c>
      <c r="E485" s="4">
        <v>45415</v>
      </c>
      <c r="F485" s="4">
        <v>45418</v>
      </c>
      <c r="G485" s="1">
        <v>1</v>
      </c>
      <c r="H485" s="1">
        <v>8</v>
      </c>
      <c r="I485" t="s">
        <v>13</v>
      </c>
      <c r="J485" t="s">
        <v>2142</v>
      </c>
      <c r="K485" t="s">
        <v>28</v>
      </c>
      <c r="L485" s="1" t="str">
        <f t="shared" si="42"/>
        <v>2024</v>
      </c>
      <c r="M485" t="str">
        <f t="shared" si="43"/>
        <v>May</v>
      </c>
      <c r="N485" t="str">
        <f t="shared" si="44"/>
        <v>Fri</v>
      </c>
      <c r="O485" s="1">
        <f t="shared" si="45"/>
        <v>3</v>
      </c>
      <c r="P485" s="1">
        <f t="shared" si="46"/>
        <v>8</v>
      </c>
      <c r="Q485" s="1">
        <f>ROUND(G485*H485*VLOOKUP(D485,'Cost Product'!A$1:C$21,3,FALSE),0)</f>
        <v>5</v>
      </c>
      <c r="R485" s="1">
        <f t="shared" si="47"/>
        <v>3</v>
      </c>
    </row>
    <row r="486" spans="1:18" x14ac:dyDescent="0.25">
      <c r="A486" s="1" t="s">
        <v>1007</v>
      </c>
      <c r="B486" t="s">
        <v>1008</v>
      </c>
      <c r="C486" t="s">
        <v>11</v>
      </c>
      <c r="D486" t="s">
        <v>36</v>
      </c>
      <c r="E486" s="4">
        <v>45432</v>
      </c>
      <c r="F486" s="4">
        <v>45434</v>
      </c>
      <c r="G486" s="1">
        <v>5</v>
      </c>
      <c r="H486" s="1">
        <v>6.25</v>
      </c>
      <c r="I486" t="s">
        <v>40</v>
      </c>
      <c r="J486" t="s">
        <v>2143</v>
      </c>
      <c r="K486" t="s">
        <v>19</v>
      </c>
      <c r="L486" s="1" t="str">
        <f t="shared" si="42"/>
        <v>2024</v>
      </c>
      <c r="M486" t="str">
        <f t="shared" si="43"/>
        <v>May</v>
      </c>
      <c r="N486" t="str">
        <f t="shared" si="44"/>
        <v>Mon</v>
      </c>
      <c r="O486" s="1">
        <f t="shared" si="45"/>
        <v>2</v>
      </c>
      <c r="P486" s="1">
        <f t="shared" si="46"/>
        <v>31.25</v>
      </c>
      <c r="Q486" s="1">
        <f>ROUND(G486*H486*VLOOKUP(D486,'Cost Product'!A$1:C$21,3,FALSE),0)</f>
        <v>17</v>
      </c>
      <c r="R486" s="1">
        <f t="shared" si="47"/>
        <v>14.25</v>
      </c>
    </row>
    <row r="487" spans="1:18" x14ac:dyDescent="0.25">
      <c r="A487" s="1" t="s">
        <v>1009</v>
      </c>
      <c r="B487" t="s">
        <v>1010</v>
      </c>
      <c r="C487" t="s">
        <v>65</v>
      </c>
      <c r="D487" t="s">
        <v>120</v>
      </c>
      <c r="E487" s="4">
        <v>45511</v>
      </c>
      <c r="F487" s="4">
        <v>45514</v>
      </c>
      <c r="G487" s="1">
        <v>5</v>
      </c>
      <c r="H487" s="1">
        <v>3.75</v>
      </c>
      <c r="I487" t="s">
        <v>13</v>
      </c>
      <c r="J487" t="s">
        <v>2142</v>
      </c>
      <c r="K487" t="s">
        <v>14</v>
      </c>
      <c r="L487" s="1" t="str">
        <f t="shared" si="42"/>
        <v>2024</v>
      </c>
      <c r="M487" t="str">
        <f t="shared" si="43"/>
        <v>Aug</v>
      </c>
      <c r="N487" t="str">
        <f t="shared" si="44"/>
        <v>Wed</v>
      </c>
      <c r="O487" s="1">
        <f t="shared" si="45"/>
        <v>3</v>
      </c>
      <c r="P487" s="1">
        <f t="shared" si="46"/>
        <v>18.75</v>
      </c>
      <c r="Q487" s="1">
        <f>ROUND(G487*H487*VLOOKUP(D487,'Cost Product'!A$1:C$21,3,FALSE),0)</f>
        <v>9</v>
      </c>
      <c r="R487" s="1">
        <f t="shared" si="47"/>
        <v>9.75</v>
      </c>
    </row>
    <row r="488" spans="1:18" x14ac:dyDescent="0.25">
      <c r="A488" s="1" t="s">
        <v>1011</v>
      </c>
      <c r="B488" t="s">
        <v>1012</v>
      </c>
      <c r="C488" t="s">
        <v>65</v>
      </c>
      <c r="D488" t="s">
        <v>66</v>
      </c>
      <c r="E488" s="4">
        <v>45444</v>
      </c>
      <c r="F488" s="4">
        <v>45445</v>
      </c>
      <c r="G488" s="1">
        <v>5</v>
      </c>
      <c r="H488" s="1">
        <v>3.5</v>
      </c>
      <c r="I488" t="s">
        <v>13</v>
      </c>
      <c r="J488" t="s">
        <v>2143</v>
      </c>
      <c r="K488" t="s">
        <v>28</v>
      </c>
      <c r="L488" s="1" t="str">
        <f t="shared" si="42"/>
        <v>2024</v>
      </c>
      <c r="M488" t="str">
        <f t="shared" si="43"/>
        <v>Jun</v>
      </c>
      <c r="N488" t="str">
        <f t="shared" si="44"/>
        <v>Sat</v>
      </c>
      <c r="O488" s="1">
        <f t="shared" si="45"/>
        <v>1</v>
      </c>
      <c r="P488" s="1">
        <f t="shared" si="46"/>
        <v>17.5</v>
      </c>
      <c r="Q488" s="1">
        <f>ROUND(G488*H488*VLOOKUP(D488,'Cost Product'!A$1:C$21,3,FALSE),0)</f>
        <v>8</v>
      </c>
      <c r="R488" s="1">
        <f t="shared" si="47"/>
        <v>9.5</v>
      </c>
    </row>
    <row r="489" spans="1:18" x14ac:dyDescent="0.25">
      <c r="A489" s="1" t="s">
        <v>1013</v>
      </c>
      <c r="B489" t="s">
        <v>1014</v>
      </c>
      <c r="C489" t="s">
        <v>17</v>
      </c>
      <c r="D489" t="s">
        <v>53</v>
      </c>
      <c r="E489" s="4">
        <v>45308</v>
      </c>
      <c r="F489" s="4">
        <v>45311</v>
      </c>
      <c r="G489" s="1">
        <v>4</v>
      </c>
      <c r="H489" s="1">
        <v>4.75</v>
      </c>
      <c r="I489" t="s">
        <v>13</v>
      </c>
      <c r="J489" t="s">
        <v>2142</v>
      </c>
      <c r="K489" t="s">
        <v>19</v>
      </c>
      <c r="L489" s="1" t="str">
        <f t="shared" si="42"/>
        <v>2024</v>
      </c>
      <c r="M489" t="str">
        <f t="shared" si="43"/>
        <v>Jan</v>
      </c>
      <c r="N489" t="str">
        <f t="shared" si="44"/>
        <v>Wed</v>
      </c>
      <c r="O489" s="1">
        <f t="shared" si="45"/>
        <v>3</v>
      </c>
      <c r="P489" s="1">
        <f t="shared" si="46"/>
        <v>19</v>
      </c>
      <c r="Q489" s="1">
        <f>ROUND(G489*H489*VLOOKUP(D489,'Cost Product'!A$1:C$21,3,FALSE),0)</f>
        <v>10</v>
      </c>
      <c r="R489" s="1">
        <f t="shared" si="47"/>
        <v>9</v>
      </c>
    </row>
    <row r="490" spans="1:18" x14ac:dyDescent="0.25">
      <c r="A490" s="1" t="s">
        <v>1015</v>
      </c>
      <c r="B490" t="s">
        <v>1016</v>
      </c>
      <c r="C490" t="s">
        <v>17</v>
      </c>
      <c r="D490" t="s">
        <v>18</v>
      </c>
      <c r="E490" s="4">
        <v>45258</v>
      </c>
      <c r="F490" s="4">
        <v>45260</v>
      </c>
      <c r="G490" s="1">
        <v>1</v>
      </c>
      <c r="H490" s="1">
        <v>5.5</v>
      </c>
      <c r="I490" t="s">
        <v>40</v>
      </c>
      <c r="J490" t="s">
        <v>2142</v>
      </c>
      <c r="K490" t="s">
        <v>19</v>
      </c>
      <c r="L490" s="1" t="str">
        <f t="shared" si="42"/>
        <v>2023</v>
      </c>
      <c r="M490" t="str">
        <f t="shared" si="43"/>
        <v>Nov</v>
      </c>
      <c r="N490" t="str">
        <f t="shared" si="44"/>
        <v>Tue</v>
      </c>
      <c r="O490" s="1">
        <f t="shared" si="45"/>
        <v>2</v>
      </c>
      <c r="P490" s="1">
        <f t="shared" si="46"/>
        <v>5.5</v>
      </c>
      <c r="Q490" s="1">
        <f>ROUND(G490*H490*VLOOKUP(D490,'Cost Product'!A$1:C$21,3,FALSE),0)</f>
        <v>3</v>
      </c>
      <c r="R490" s="1">
        <f t="shared" si="47"/>
        <v>2.5</v>
      </c>
    </row>
    <row r="491" spans="1:18" x14ac:dyDescent="0.25">
      <c r="A491" s="1" t="s">
        <v>1017</v>
      </c>
      <c r="B491" t="s">
        <v>1018</v>
      </c>
      <c r="C491" t="s">
        <v>22</v>
      </c>
      <c r="D491" t="s">
        <v>59</v>
      </c>
      <c r="E491" s="4">
        <v>45431</v>
      </c>
      <c r="F491" s="4">
        <v>45434</v>
      </c>
      <c r="G491" s="1">
        <v>1</v>
      </c>
      <c r="H491" s="1">
        <v>8.5</v>
      </c>
      <c r="I491" t="s">
        <v>13</v>
      </c>
      <c r="J491" t="s">
        <v>2141</v>
      </c>
      <c r="K491" t="s">
        <v>19</v>
      </c>
      <c r="L491" s="1" t="str">
        <f t="shared" si="42"/>
        <v>2024</v>
      </c>
      <c r="M491" t="str">
        <f t="shared" si="43"/>
        <v>May</v>
      </c>
      <c r="N491" t="str">
        <f t="shared" si="44"/>
        <v>Sun</v>
      </c>
      <c r="O491" s="1">
        <f t="shared" si="45"/>
        <v>3</v>
      </c>
      <c r="P491" s="1">
        <f t="shared" si="46"/>
        <v>8.5</v>
      </c>
      <c r="Q491" s="1">
        <f>ROUND(G491*H491*VLOOKUP(D491,'Cost Product'!A$1:C$21,3,FALSE),0)</f>
        <v>5</v>
      </c>
      <c r="R491" s="1">
        <f t="shared" si="47"/>
        <v>3.5</v>
      </c>
    </row>
    <row r="492" spans="1:18" x14ac:dyDescent="0.25">
      <c r="A492" s="1" t="s">
        <v>1019</v>
      </c>
      <c r="B492" t="s">
        <v>1020</v>
      </c>
      <c r="C492" t="s">
        <v>17</v>
      </c>
      <c r="D492" t="s">
        <v>50</v>
      </c>
      <c r="E492" s="4">
        <v>45149</v>
      </c>
      <c r="F492" s="4">
        <v>45152</v>
      </c>
      <c r="G492" s="1">
        <v>1</v>
      </c>
      <c r="H492" s="1">
        <v>5.25</v>
      </c>
      <c r="I492" t="s">
        <v>13</v>
      </c>
      <c r="J492" t="s">
        <v>2142</v>
      </c>
      <c r="K492" t="s">
        <v>14</v>
      </c>
      <c r="L492" s="1" t="str">
        <f t="shared" si="42"/>
        <v>2023</v>
      </c>
      <c r="M492" t="str">
        <f t="shared" si="43"/>
        <v>Aug</v>
      </c>
      <c r="N492" t="str">
        <f t="shared" si="44"/>
        <v>Fri</v>
      </c>
      <c r="O492" s="1">
        <f t="shared" si="45"/>
        <v>3</v>
      </c>
      <c r="P492" s="1">
        <f t="shared" si="46"/>
        <v>5.25</v>
      </c>
      <c r="Q492" s="1">
        <f>ROUND(G492*H492*VLOOKUP(D492,'Cost Product'!A$1:C$21,3,FALSE),0)</f>
        <v>3</v>
      </c>
      <c r="R492" s="1">
        <f t="shared" si="47"/>
        <v>2.25</v>
      </c>
    </row>
    <row r="493" spans="1:18" x14ac:dyDescent="0.25">
      <c r="A493" s="1" t="s">
        <v>1021</v>
      </c>
      <c r="B493" t="s">
        <v>1022</v>
      </c>
      <c r="C493" t="s">
        <v>11</v>
      </c>
      <c r="D493" t="s">
        <v>39</v>
      </c>
      <c r="E493" s="4">
        <v>45345</v>
      </c>
      <c r="F493" s="4">
        <v>45349</v>
      </c>
      <c r="G493" s="1">
        <v>2</v>
      </c>
      <c r="H493" s="1">
        <v>5.75</v>
      </c>
      <c r="I493" t="s">
        <v>13</v>
      </c>
      <c r="J493" t="s">
        <v>2141</v>
      </c>
      <c r="K493" t="s">
        <v>28</v>
      </c>
      <c r="L493" s="1" t="str">
        <f t="shared" si="42"/>
        <v>2024</v>
      </c>
      <c r="M493" t="str">
        <f t="shared" si="43"/>
        <v>Feb</v>
      </c>
      <c r="N493" t="str">
        <f t="shared" si="44"/>
        <v>Fri</v>
      </c>
      <c r="O493" s="1">
        <f t="shared" si="45"/>
        <v>4</v>
      </c>
      <c r="P493" s="1">
        <f t="shared" si="46"/>
        <v>11.5</v>
      </c>
      <c r="Q493" s="1">
        <f>ROUND(G493*H493*VLOOKUP(D493,'Cost Product'!A$1:C$21,3,FALSE),0)</f>
        <v>6</v>
      </c>
      <c r="R493" s="1">
        <f t="shared" si="47"/>
        <v>5.5</v>
      </c>
    </row>
    <row r="494" spans="1:18" x14ac:dyDescent="0.25">
      <c r="A494" s="1" t="s">
        <v>1023</v>
      </c>
      <c r="B494" t="s">
        <v>1024</v>
      </c>
      <c r="C494" t="s">
        <v>26</v>
      </c>
      <c r="D494" t="s">
        <v>45</v>
      </c>
      <c r="E494" s="4">
        <v>45454</v>
      </c>
      <c r="F494" s="4">
        <v>45455</v>
      </c>
      <c r="G494" s="1">
        <v>4</v>
      </c>
      <c r="H494" s="1">
        <v>4.5</v>
      </c>
      <c r="I494" t="s">
        <v>13</v>
      </c>
      <c r="J494" t="s">
        <v>2142</v>
      </c>
      <c r="K494" t="s">
        <v>28</v>
      </c>
      <c r="L494" s="1" t="str">
        <f t="shared" si="42"/>
        <v>2024</v>
      </c>
      <c r="M494" t="str">
        <f t="shared" si="43"/>
        <v>Jun</v>
      </c>
      <c r="N494" t="str">
        <f t="shared" si="44"/>
        <v>Tue</v>
      </c>
      <c r="O494" s="1">
        <f t="shared" si="45"/>
        <v>1</v>
      </c>
      <c r="P494" s="1">
        <f t="shared" si="46"/>
        <v>18</v>
      </c>
      <c r="Q494" s="1">
        <f>ROUND(G494*H494*VLOOKUP(D494,'Cost Product'!A$1:C$21,3,FALSE),0)</f>
        <v>9</v>
      </c>
      <c r="R494" s="1">
        <f t="shared" si="47"/>
        <v>9</v>
      </c>
    </row>
    <row r="495" spans="1:18" x14ac:dyDescent="0.25">
      <c r="A495" s="1" t="s">
        <v>1025</v>
      </c>
      <c r="B495" t="s">
        <v>1026</v>
      </c>
      <c r="C495" t="s">
        <v>65</v>
      </c>
      <c r="D495" t="s">
        <v>115</v>
      </c>
      <c r="E495" s="4">
        <v>45122</v>
      </c>
      <c r="F495" s="4">
        <v>45125</v>
      </c>
      <c r="G495" s="1">
        <v>2</v>
      </c>
      <c r="H495" s="1">
        <v>3</v>
      </c>
      <c r="I495" t="s">
        <v>13</v>
      </c>
      <c r="J495" t="s">
        <v>2144</v>
      </c>
      <c r="K495" t="s">
        <v>28</v>
      </c>
      <c r="L495" s="1" t="str">
        <f t="shared" si="42"/>
        <v>2023</v>
      </c>
      <c r="M495" t="str">
        <f t="shared" si="43"/>
        <v>Jul</v>
      </c>
      <c r="N495" t="str">
        <f t="shared" si="44"/>
        <v>Sat</v>
      </c>
      <c r="O495" s="1">
        <f t="shared" si="45"/>
        <v>3</v>
      </c>
      <c r="P495" s="1">
        <f t="shared" si="46"/>
        <v>6</v>
      </c>
      <c r="Q495" s="1">
        <f>ROUND(G495*H495*VLOOKUP(D495,'Cost Product'!A$1:C$21,3,FALSE),0)</f>
        <v>3</v>
      </c>
      <c r="R495" s="1">
        <f t="shared" si="47"/>
        <v>3</v>
      </c>
    </row>
    <row r="496" spans="1:18" x14ac:dyDescent="0.25">
      <c r="A496" s="1" t="s">
        <v>1027</v>
      </c>
      <c r="B496" t="s">
        <v>1028</v>
      </c>
      <c r="C496" t="s">
        <v>26</v>
      </c>
      <c r="D496" t="s">
        <v>27</v>
      </c>
      <c r="E496" s="4">
        <v>45370</v>
      </c>
      <c r="F496" s="4">
        <v>45371</v>
      </c>
      <c r="G496" s="1">
        <v>5</v>
      </c>
      <c r="H496" s="1">
        <v>4.75</v>
      </c>
      <c r="I496" t="s">
        <v>13</v>
      </c>
      <c r="J496" t="s">
        <v>2145</v>
      </c>
      <c r="K496" t="s">
        <v>28</v>
      </c>
      <c r="L496" s="1" t="str">
        <f t="shared" si="42"/>
        <v>2024</v>
      </c>
      <c r="M496" t="str">
        <f t="shared" si="43"/>
        <v>Mar</v>
      </c>
      <c r="N496" t="str">
        <f t="shared" si="44"/>
        <v>Tue</v>
      </c>
      <c r="O496" s="1">
        <f t="shared" si="45"/>
        <v>1</v>
      </c>
      <c r="P496" s="1">
        <f t="shared" si="46"/>
        <v>23.75</v>
      </c>
      <c r="Q496" s="1">
        <f>ROUND(G496*H496*VLOOKUP(D496,'Cost Product'!A$1:C$21,3,FALSE),0)</f>
        <v>13</v>
      </c>
      <c r="R496" s="1">
        <f t="shared" si="47"/>
        <v>10.75</v>
      </c>
    </row>
    <row r="497" spans="1:18" x14ac:dyDescent="0.25">
      <c r="A497" s="1" t="s">
        <v>1029</v>
      </c>
      <c r="B497" t="s">
        <v>1030</v>
      </c>
      <c r="C497" t="s">
        <v>65</v>
      </c>
      <c r="D497" t="s">
        <v>66</v>
      </c>
      <c r="E497" s="4">
        <v>45342</v>
      </c>
      <c r="F497" s="4">
        <v>45343</v>
      </c>
      <c r="G497" s="1">
        <v>2</v>
      </c>
      <c r="H497" s="1">
        <v>3.5</v>
      </c>
      <c r="I497" t="s">
        <v>13</v>
      </c>
      <c r="J497" t="s">
        <v>2142</v>
      </c>
      <c r="K497" t="s">
        <v>14</v>
      </c>
      <c r="L497" s="1" t="str">
        <f t="shared" si="42"/>
        <v>2024</v>
      </c>
      <c r="M497" t="str">
        <f t="shared" si="43"/>
        <v>Feb</v>
      </c>
      <c r="N497" t="str">
        <f t="shared" si="44"/>
        <v>Tue</v>
      </c>
      <c r="O497" s="1">
        <f t="shared" si="45"/>
        <v>1</v>
      </c>
      <c r="P497" s="1">
        <f t="shared" si="46"/>
        <v>7</v>
      </c>
      <c r="Q497" s="1">
        <f>ROUND(G497*H497*VLOOKUP(D497,'Cost Product'!A$1:C$21,3,FALSE),0)</f>
        <v>3</v>
      </c>
      <c r="R497" s="1">
        <f t="shared" si="47"/>
        <v>4</v>
      </c>
    </row>
    <row r="498" spans="1:18" x14ac:dyDescent="0.25">
      <c r="A498" s="1" t="s">
        <v>1031</v>
      </c>
      <c r="B498" t="s">
        <v>1032</v>
      </c>
      <c r="C498" t="s">
        <v>65</v>
      </c>
      <c r="D498" t="s">
        <v>115</v>
      </c>
      <c r="E498" s="4">
        <v>45232</v>
      </c>
      <c r="F498" s="4">
        <v>45234</v>
      </c>
      <c r="G498" s="1">
        <v>2</v>
      </c>
      <c r="H498" s="1">
        <v>3</v>
      </c>
      <c r="I498" t="s">
        <v>13</v>
      </c>
      <c r="J498" t="s">
        <v>2146</v>
      </c>
      <c r="K498" t="s">
        <v>19</v>
      </c>
      <c r="L498" s="1" t="str">
        <f t="shared" si="42"/>
        <v>2023</v>
      </c>
      <c r="M498" t="str">
        <f t="shared" si="43"/>
        <v>Nov</v>
      </c>
      <c r="N498" t="str">
        <f t="shared" si="44"/>
        <v>Thu</v>
      </c>
      <c r="O498" s="1">
        <f t="shared" si="45"/>
        <v>2</v>
      </c>
      <c r="P498" s="1">
        <f t="shared" si="46"/>
        <v>6</v>
      </c>
      <c r="Q498" s="1">
        <f>ROUND(G498*H498*VLOOKUP(D498,'Cost Product'!A$1:C$21,3,FALSE),0)</f>
        <v>3</v>
      </c>
      <c r="R498" s="1">
        <f t="shared" si="47"/>
        <v>3</v>
      </c>
    </row>
    <row r="499" spans="1:18" x14ac:dyDescent="0.25">
      <c r="A499" s="1" t="s">
        <v>1033</v>
      </c>
      <c r="B499" t="s">
        <v>1034</v>
      </c>
      <c r="C499" t="s">
        <v>11</v>
      </c>
      <c r="D499" t="s">
        <v>39</v>
      </c>
      <c r="E499" s="4">
        <v>45527</v>
      </c>
      <c r="F499" s="4">
        <v>45531</v>
      </c>
      <c r="G499" s="1">
        <v>5</v>
      </c>
      <c r="H499" s="1">
        <v>5.75</v>
      </c>
      <c r="I499" t="s">
        <v>13</v>
      </c>
      <c r="J499" t="s">
        <v>2144</v>
      </c>
      <c r="K499" t="s">
        <v>19</v>
      </c>
      <c r="L499" s="1" t="str">
        <f t="shared" si="42"/>
        <v>2024</v>
      </c>
      <c r="M499" t="str">
        <f t="shared" si="43"/>
        <v>Aug</v>
      </c>
      <c r="N499" t="str">
        <f t="shared" si="44"/>
        <v>Fri</v>
      </c>
      <c r="O499" s="1">
        <f t="shared" si="45"/>
        <v>4</v>
      </c>
      <c r="P499" s="1">
        <f t="shared" si="46"/>
        <v>28.75</v>
      </c>
      <c r="Q499" s="1">
        <f>ROUND(G499*H499*VLOOKUP(D499,'Cost Product'!A$1:C$21,3,FALSE),0)</f>
        <v>14</v>
      </c>
      <c r="R499" s="1">
        <f t="shared" si="47"/>
        <v>14.75</v>
      </c>
    </row>
    <row r="500" spans="1:18" x14ac:dyDescent="0.25">
      <c r="A500" s="1" t="s">
        <v>1035</v>
      </c>
      <c r="B500" t="s">
        <v>1036</v>
      </c>
      <c r="C500" t="s">
        <v>11</v>
      </c>
      <c r="D500" t="s">
        <v>39</v>
      </c>
      <c r="E500" s="4">
        <v>45454</v>
      </c>
      <c r="F500" s="4">
        <v>45455</v>
      </c>
      <c r="G500" s="1">
        <v>2</v>
      </c>
      <c r="H500" s="1">
        <v>5.75</v>
      </c>
      <c r="I500" t="s">
        <v>13</v>
      </c>
      <c r="J500" t="s">
        <v>2141</v>
      </c>
      <c r="K500" t="s">
        <v>28</v>
      </c>
      <c r="L500" s="1" t="str">
        <f t="shared" si="42"/>
        <v>2024</v>
      </c>
      <c r="M500" t="str">
        <f t="shared" si="43"/>
        <v>Jun</v>
      </c>
      <c r="N500" t="str">
        <f t="shared" si="44"/>
        <v>Tue</v>
      </c>
      <c r="O500" s="1">
        <f t="shared" si="45"/>
        <v>1</v>
      </c>
      <c r="P500" s="1">
        <f t="shared" si="46"/>
        <v>11.5</v>
      </c>
      <c r="Q500" s="1">
        <f>ROUND(G500*H500*VLOOKUP(D500,'Cost Product'!A$1:C$21,3,FALSE),0)</f>
        <v>6</v>
      </c>
      <c r="R500" s="1">
        <f t="shared" si="47"/>
        <v>5.5</v>
      </c>
    </row>
    <row r="501" spans="1:18" x14ac:dyDescent="0.25">
      <c r="A501" s="1" t="s">
        <v>1037</v>
      </c>
      <c r="B501" t="s">
        <v>1038</v>
      </c>
      <c r="C501" t="s">
        <v>65</v>
      </c>
      <c r="D501" t="s">
        <v>66</v>
      </c>
      <c r="E501" s="4">
        <v>45194</v>
      </c>
      <c r="F501" s="4">
        <v>45208</v>
      </c>
      <c r="G501" s="1">
        <v>4</v>
      </c>
      <c r="H501" s="1">
        <v>3.5</v>
      </c>
      <c r="I501" t="s">
        <v>13</v>
      </c>
      <c r="J501" t="s">
        <v>2144</v>
      </c>
      <c r="K501" t="s">
        <v>19</v>
      </c>
      <c r="L501" s="1" t="str">
        <f t="shared" si="42"/>
        <v>2023</v>
      </c>
      <c r="M501" t="str">
        <f t="shared" si="43"/>
        <v>Sep</v>
      </c>
      <c r="N501" t="str">
        <f t="shared" si="44"/>
        <v>Mon</v>
      </c>
      <c r="O501" s="1">
        <f t="shared" si="45"/>
        <v>14</v>
      </c>
      <c r="P501" s="1">
        <f t="shared" si="46"/>
        <v>14</v>
      </c>
      <c r="Q501" s="1">
        <f>ROUND(G501*H501*VLOOKUP(D501,'Cost Product'!A$1:C$21,3,FALSE),0)</f>
        <v>7</v>
      </c>
      <c r="R501" s="1">
        <f t="shared" si="47"/>
        <v>7</v>
      </c>
    </row>
    <row r="502" spans="1:18" x14ac:dyDescent="0.25">
      <c r="A502" s="1" t="s">
        <v>1039</v>
      </c>
      <c r="B502" t="s">
        <v>1040</v>
      </c>
      <c r="C502" t="s">
        <v>65</v>
      </c>
      <c r="D502" t="s">
        <v>120</v>
      </c>
      <c r="E502" s="4">
        <v>45142</v>
      </c>
      <c r="F502" s="4">
        <v>45143</v>
      </c>
      <c r="G502" s="1">
        <v>3</v>
      </c>
      <c r="H502" s="1">
        <v>3.75</v>
      </c>
      <c r="I502" t="s">
        <v>13</v>
      </c>
      <c r="J502" t="s">
        <v>2145</v>
      </c>
      <c r="K502" t="s">
        <v>28</v>
      </c>
      <c r="L502" s="1" t="str">
        <f t="shared" si="42"/>
        <v>2023</v>
      </c>
      <c r="M502" t="str">
        <f t="shared" si="43"/>
        <v>Aug</v>
      </c>
      <c r="N502" t="str">
        <f t="shared" si="44"/>
        <v>Fri</v>
      </c>
      <c r="O502" s="1">
        <f t="shared" si="45"/>
        <v>1</v>
      </c>
      <c r="P502" s="1">
        <f t="shared" si="46"/>
        <v>11.25</v>
      </c>
      <c r="Q502" s="1">
        <f>ROUND(G502*H502*VLOOKUP(D502,'Cost Product'!A$1:C$21,3,FALSE),0)</f>
        <v>6</v>
      </c>
      <c r="R502" s="1">
        <f t="shared" si="47"/>
        <v>5.25</v>
      </c>
    </row>
    <row r="503" spans="1:18" x14ac:dyDescent="0.25">
      <c r="A503" s="1" t="s">
        <v>1041</v>
      </c>
      <c r="B503" t="s">
        <v>1042</v>
      </c>
      <c r="C503" t="s">
        <v>65</v>
      </c>
      <c r="D503" t="s">
        <v>115</v>
      </c>
      <c r="E503" s="4">
        <v>45382</v>
      </c>
      <c r="F503" s="4">
        <v>45383</v>
      </c>
      <c r="G503" s="1">
        <v>4</v>
      </c>
      <c r="H503" s="1">
        <v>3</v>
      </c>
      <c r="I503" t="s">
        <v>40</v>
      </c>
      <c r="J503" t="s">
        <v>2142</v>
      </c>
      <c r="K503" t="s">
        <v>19</v>
      </c>
      <c r="L503" s="1" t="str">
        <f t="shared" si="42"/>
        <v>2024</v>
      </c>
      <c r="M503" t="str">
        <f t="shared" si="43"/>
        <v>Mar</v>
      </c>
      <c r="N503" t="str">
        <f t="shared" si="44"/>
        <v>Sun</v>
      </c>
      <c r="O503" s="1">
        <f t="shared" si="45"/>
        <v>1</v>
      </c>
      <c r="P503" s="1">
        <f t="shared" si="46"/>
        <v>12</v>
      </c>
      <c r="Q503" s="1">
        <f>ROUND(G503*H503*VLOOKUP(D503,'Cost Product'!A$1:C$21,3,FALSE),0)</f>
        <v>6</v>
      </c>
      <c r="R503" s="1">
        <f t="shared" si="47"/>
        <v>6</v>
      </c>
    </row>
    <row r="504" spans="1:18" x14ac:dyDescent="0.25">
      <c r="A504" s="1" t="s">
        <v>1043</v>
      </c>
      <c r="B504" t="s">
        <v>1044</v>
      </c>
      <c r="C504" t="s">
        <v>17</v>
      </c>
      <c r="D504" t="s">
        <v>79</v>
      </c>
      <c r="E504" s="4">
        <v>45509</v>
      </c>
      <c r="F504" s="4">
        <v>45515</v>
      </c>
      <c r="G504" s="1">
        <v>3</v>
      </c>
      <c r="H504" s="1">
        <v>5</v>
      </c>
      <c r="I504" t="s">
        <v>13</v>
      </c>
      <c r="J504" t="s">
        <v>2146</v>
      </c>
      <c r="K504" t="s">
        <v>14</v>
      </c>
      <c r="L504" s="1" t="str">
        <f t="shared" si="42"/>
        <v>2024</v>
      </c>
      <c r="M504" t="str">
        <f t="shared" si="43"/>
        <v>Aug</v>
      </c>
      <c r="N504" t="str">
        <f t="shared" si="44"/>
        <v>Mon</v>
      </c>
      <c r="O504" s="1">
        <f t="shared" si="45"/>
        <v>6</v>
      </c>
      <c r="P504" s="1">
        <f t="shared" si="46"/>
        <v>15</v>
      </c>
      <c r="Q504" s="1">
        <f>ROUND(G504*H504*VLOOKUP(D504,'Cost Product'!A$1:C$21,3,FALSE),0)</f>
        <v>8</v>
      </c>
      <c r="R504" s="1">
        <f t="shared" si="47"/>
        <v>7</v>
      </c>
    </row>
    <row r="505" spans="1:18" x14ac:dyDescent="0.25">
      <c r="A505" s="1" t="s">
        <v>1045</v>
      </c>
      <c r="B505" t="s">
        <v>1046</v>
      </c>
      <c r="C505" t="s">
        <v>17</v>
      </c>
      <c r="D505" t="s">
        <v>50</v>
      </c>
      <c r="E505" s="4">
        <v>45495</v>
      </c>
      <c r="F505" s="4">
        <v>45496</v>
      </c>
      <c r="G505" s="1">
        <v>3</v>
      </c>
      <c r="H505" s="1">
        <v>5.25</v>
      </c>
      <c r="I505" t="s">
        <v>13</v>
      </c>
      <c r="J505" t="s">
        <v>2145</v>
      </c>
      <c r="K505" t="s">
        <v>28</v>
      </c>
      <c r="L505" s="1" t="str">
        <f t="shared" si="42"/>
        <v>2024</v>
      </c>
      <c r="M505" t="str">
        <f t="shared" si="43"/>
        <v>Jul</v>
      </c>
      <c r="N505" t="str">
        <f t="shared" si="44"/>
        <v>Mon</v>
      </c>
      <c r="O505" s="1">
        <f t="shared" si="45"/>
        <v>1</v>
      </c>
      <c r="P505" s="1">
        <f t="shared" si="46"/>
        <v>15.75</v>
      </c>
      <c r="Q505" s="1">
        <f>ROUND(G505*H505*VLOOKUP(D505,'Cost Product'!A$1:C$21,3,FALSE),0)</f>
        <v>9</v>
      </c>
      <c r="R505" s="1">
        <f t="shared" si="47"/>
        <v>6.75</v>
      </c>
    </row>
    <row r="506" spans="1:18" x14ac:dyDescent="0.25">
      <c r="A506" s="1" t="s">
        <v>1047</v>
      </c>
      <c r="B506" t="s">
        <v>1048</v>
      </c>
      <c r="C506" t="s">
        <v>11</v>
      </c>
      <c r="D506" t="s">
        <v>12</v>
      </c>
      <c r="E506" s="4">
        <v>45464</v>
      </c>
      <c r="F506" s="4">
        <v>45467</v>
      </c>
      <c r="G506" s="1">
        <v>5</v>
      </c>
      <c r="H506" s="1">
        <v>6.5</v>
      </c>
      <c r="I506" t="s">
        <v>13</v>
      </c>
      <c r="J506" t="s">
        <v>2141</v>
      </c>
      <c r="K506" t="s">
        <v>14</v>
      </c>
      <c r="L506" s="1" t="str">
        <f t="shared" si="42"/>
        <v>2024</v>
      </c>
      <c r="M506" t="str">
        <f t="shared" si="43"/>
        <v>Jun</v>
      </c>
      <c r="N506" t="str">
        <f t="shared" si="44"/>
        <v>Fri</v>
      </c>
      <c r="O506" s="1">
        <f t="shared" si="45"/>
        <v>3</v>
      </c>
      <c r="P506" s="1">
        <f t="shared" si="46"/>
        <v>32.5</v>
      </c>
      <c r="Q506" s="1">
        <f>ROUND(G506*H506*VLOOKUP(D506,'Cost Product'!A$1:C$21,3,FALSE),0)</f>
        <v>19</v>
      </c>
      <c r="R506" s="1">
        <f t="shared" si="47"/>
        <v>13.5</v>
      </c>
    </row>
    <row r="507" spans="1:18" x14ac:dyDescent="0.25">
      <c r="A507" s="1" t="s">
        <v>1049</v>
      </c>
      <c r="B507" t="s">
        <v>1050</v>
      </c>
      <c r="C507" t="s">
        <v>22</v>
      </c>
      <c r="D507" t="s">
        <v>62</v>
      </c>
      <c r="E507" s="4">
        <v>45235</v>
      </c>
      <c r="F507" s="4">
        <v>45242</v>
      </c>
      <c r="G507" s="1">
        <v>4</v>
      </c>
      <c r="H507" s="1">
        <v>8</v>
      </c>
      <c r="I507" t="s">
        <v>13</v>
      </c>
      <c r="J507" t="s">
        <v>2141</v>
      </c>
      <c r="K507" t="s">
        <v>14</v>
      </c>
      <c r="L507" s="1" t="str">
        <f t="shared" si="42"/>
        <v>2023</v>
      </c>
      <c r="M507" t="str">
        <f t="shared" si="43"/>
        <v>Nov</v>
      </c>
      <c r="N507" t="str">
        <f t="shared" si="44"/>
        <v>Sun</v>
      </c>
      <c r="O507" s="1">
        <f t="shared" si="45"/>
        <v>7</v>
      </c>
      <c r="P507" s="1">
        <f t="shared" si="46"/>
        <v>32</v>
      </c>
      <c r="Q507" s="1">
        <f>ROUND(G507*H507*VLOOKUP(D507,'Cost Product'!A$1:C$21,3,FALSE),0)</f>
        <v>19</v>
      </c>
      <c r="R507" s="1">
        <f t="shared" si="47"/>
        <v>13</v>
      </c>
    </row>
    <row r="508" spans="1:18" x14ac:dyDescent="0.25">
      <c r="A508" s="1" t="s">
        <v>1051</v>
      </c>
      <c r="B508" t="s">
        <v>1052</v>
      </c>
      <c r="C508" t="s">
        <v>65</v>
      </c>
      <c r="D508" t="s">
        <v>120</v>
      </c>
      <c r="E508" s="4">
        <v>45295</v>
      </c>
      <c r="F508" s="4">
        <v>45296</v>
      </c>
      <c r="G508" s="1">
        <v>3</v>
      </c>
      <c r="H508" s="1">
        <v>3.75</v>
      </c>
      <c r="I508" t="s">
        <v>13</v>
      </c>
      <c r="J508" t="s">
        <v>2145</v>
      </c>
      <c r="K508" t="s">
        <v>14</v>
      </c>
      <c r="L508" s="1" t="str">
        <f t="shared" si="42"/>
        <v>2024</v>
      </c>
      <c r="M508" t="str">
        <f t="shared" si="43"/>
        <v>Jan</v>
      </c>
      <c r="N508" t="str">
        <f t="shared" si="44"/>
        <v>Thu</v>
      </c>
      <c r="O508" s="1">
        <f t="shared" si="45"/>
        <v>1</v>
      </c>
      <c r="P508" s="1">
        <f t="shared" si="46"/>
        <v>11.25</v>
      </c>
      <c r="Q508" s="1">
        <f>ROUND(G508*H508*VLOOKUP(D508,'Cost Product'!A$1:C$21,3,FALSE),0)</f>
        <v>6</v>
      </c>
      <c r="R508" s="1">
        <f t="shared" si="47"/>
        <v>5.25</v>
      </c>
    </row>
    <row r="509" spans="1:18" x14ac:dyDescent="0.25">
      <c r="A509" s="1" t="s">
        <v>1053</v>
      </c>
      <c r="B509" t="s">
        <v>1054</v>
      </c>
      <c r="C509" t="s">
        <v>17</v>
      </c>
      <c r="D509" t="s">
        <v>53</v>
      </c>
      <c r="E509" s="4">
        <v>45574</v>
      </c>
      <c r="F509" s="4">
        <v>45576</v>
      </c>
      <c r="G509" s="1">
        <v>2</v>
      </c>
      <c r="H509" s="1">
        <v>4.75</v>
      </c>
      <c r="I509" t="s">
        <v>13</v>
      </c>
      <c r="J509" t="s">
        <v>2141</v>
      </c>
      <c r="K509" t="s">
        <v>28</v>
      </c>
      <c r="L509" s="1" t="str">
        <f t="shared" si="42"/>
        <v>2024</v>
      </c>
      <c r="M509" t="str">
        <f t="shared" si="43"/>
        <v>Oct</v>
      </c>
      <c r="N509" t="str">
        <f t="shared" si="44"/>
        <v>Wed</v>
      </c>
      <c r="O509" s="1">
        <f t="shared" si="45"/>
        <v>2</v>
      </c>
      <c r="P509" s="1">
        <f t="shared" si="46"/>
        <v>9.5</v>
      </c>
      <c r="Q509" s="1">
        <f>ROUND(G509*H509*VLOOKUP(D509,'Cost Product'!A$1:C$21,3,FALSE),0)</f>
        <v>5</v>
      </c>
      <c r="R509" s="1">
        <f t="shared" si="47"/>
        <v>4.5</v>
      </c>
    </row>
    <row r="510" spans="1:18" x14ac:dyDescent="0.25">
      <c r="A510" s="1" t="s">
        <v>1055</v>
      </c>
      <c r="B510" t="s">
        <v>1056</v>
      </c>
      <c r="C510" t="s">
        <v>65</v>
      </c>
      <c r="D510" t="s">
        <v>115</v>
      </c>
      <c r="E510" s="4">
        <v>45246</v>
      </c>
      <c r="F510" s="4">
        <v>45251</v>
      </c>
      <c r="G510" s="1">
        <v>4</v>
      </c>
      <c r="H510" s="1">
        <v>3</v>
      </c>
      <c r="I510" t="s">
        <v>13</v>
      </c>
      <c r="J510" t="s">
        <v>2143</v>
      </c>
      <c r="K510" t="s">
        <v>28</v>
      </c>
      <c r="L510" s="1" t="str">
        <f t="shared" si="42"/>
        <v>2023</v>
      </c>
      <c r="M510" t="str">
        <f t="shared" si="43"/>
        <v>Nov</v>
      </c>
      <c r="N510" t="str">
        <f t="shared" si="44"/>
        <v>Thu</v>
      </c>
      <c r="O510" s="1">
        <f t="shared" si="45"/>
        <v>5</v>
      </c>
      <c r="P510" s="1">
        <f t="shared" si="46"/>
        <v>12</v>
      </c>
      <c r="Q510" s="1">
        <f>ROUND(G510*H510*VLOOKUP(D510,'Cost Product'!A$1:C$21,3,FALSE),0)</f>
        <v>6</v>
      </c>
      <c r="R510" s="1">
        <f t="shared" si="47"/>
        <v>6</v>
      </c>
    </row>
    <row r="511" spans="1:18" x14ac:dyDescent="0.25">
      <c r="A511" s="1" t="s">
        <v>1057</v>
      </c>
      <c r="B511" t="s">
        <v>1058</v>
      </c>
      <c r="C511" t="s">
        <v>26</v>
      </c>
      <c r="D511" t="s">
        <v>27</v>
      </c>
      <c r="E511" s="4">
        <v>45474</v>
      </c>
      <c r="F511" s="4">
        <v>45476</v>
      </c>
      <c r="G511" s="1">
        <v>2</v>
      </c>
      <c r="H511" s="1">
        <v>4.75</v>
      </c>
      <c r="I511" t="s">
        <v>13</v>
      </c>
      <c r="J511" t="s">
        <v>2143</v>
      </c>
      <c r="K511" t="s">
        <v>19</v>
      </c>
      <c r="L511" s="1" t="str">
        <f t="shared" si="42"/>
        <v>2024</v>
      </c>
      <c r="M511" t="str">
        <f t="shared" si="43"/>
        <v>Jul</v>
      </c>
      <c r="N511" t="str">
        <f t="shared" si="44"/>
        <v>Mon</v>
      </c>
      <c r="O511" s="1">
        <f t="shared" si="45"/>
        <v>2</v>
      </c>
      <c r="P511" s="1">
        <f t="shared" si="46"/>
        <v>9.5</v>
      </c>
      <c r="Q511" s="1">
        <f>ROUND(G511*H511*VLOOKUP(D511,'Cost Product'!A$1:C$21,3,FALSE),0)</f>
        <v>5</v>
      </c>
      <c r="R511" s="1">
        <f t="shared" si="47"/>
        <v>4.5</v>
      </c>
    </row>
    <row r="512" spans="1:18" x14ac:dyDescent="0.25">
      <c r="A512" s="1" t="s">
        <v>1059</v>
      </c>
      <c r="B512" t="s">
        <v>1060</v>
      </c>
      <c r="C512" t="s">
        <v>65</v>
      </c>
      <c r="D512" t="s">
        <v>115</v>
      </c>
      <c r="E512" s="4">
        <v>45225</v>
      </c>
      <c r="F512" s="4">
        <v>45227</v>
      </c>
      <c r="G512" s="1">
        <v>5</v>
      </c>
      <c r="H512" s="1">
        <v>3</v>
      </c>
      <c r="I512" t="s">
        <v>40</v>
      </c>
      <c r="J512" t="s">
        <v>2144</v>
      </c>
      <c r="K512" t="s">
        <v>19</v>
      </c>
      <c r="L512" s="1" t="str">
        <f t="shared" si="42"/>
        <v>2023</v>
      </c>
      <c r="M512" t="str">
        <f t="shared" si="43"/>
        <v>Oct</v>
      </c>
      <c r="N512" t="str">
        <f t="shared" si="44"/>
        <v>Thu</v>
      </c>
      <c r="O512" s="1">
        <f t="shared" si="45"/>
        <v>2</v>
      </c>
      <c r="P512" s="1">
        <f t="shared" si="46"/>
        <v>15</v>
      </c>
      <c r="Q512" s="1">
        <f>ROUND(G512*H512*VLOOKUP(D512,'Cost Product'!A$1:C$21,3,FALSE),0)</f>
        <v>7</v>
      </c>
      <c r="R512" s="1">
        <f t="shared" si="47"/>
        <v>8</v>
      </c>
    </row>
    <row r="513" spans="1:18" x14ac:dyDescent="0.25">
      <c r="A513" s="1" t="s">
        <v>1061</v>
      </c>
      <c r="B513" t="s">
        <v>1062</v>
      </c>
      <c r="C513" t="s">
        <v>22</v>
      </c>
      <c r="D513" t="s">
        <v>62</v>
      </c>
      <c r="E513" s="4">
        <v>45196</v>
      </c>
      <c r="F513" s="4">
        <v>45201</v>
      </c>
      <c r="G513" s="1">
        <v>4</v>
      </c>
      <c r="H513" s="1">
        <v>8</v>
      </c>
      <c r="I513" t="s">
        <v>13</v>
      </c>
      <c r="J513" t="s">
        <v>2141</v>
      </c>
      <c r="K513" t="s">
        <v>28</v>
      </c>
      <c r="L513" s="1" t="str">
        <f t="shared" si="42"/>
        <v>2023</v>
      </c>
      <c r="M513" t="str">
        <f t="shared" si="43"/>
        <v>Sep</v>
      </c>
      <c r="N513" t="str">
        <f t="shared" si="44"/>
        <v>Wed</v>
      </c>
      <c r="O513" s="1">
        <f t="shared" si="45"/>
        <v>5</v>
      </c>
      <c r="P513" s="1">
        <f t="shared" si="46"/>
        <v>32</v>
      </c>
      <c r="Q513" s="1">
        <f>ROUND(G513*H513*VLOOKUP(D513,'Cost Product'!A$1:C$21,3,FALSE),0)</f>
        <v>19</v>
      </c>
      <c r="R513" s="1">
        <f t="shared" si="47"/>
        <v>13</v>
      </c>
    </row>
    <row r="514" spans="1:18" x14ac:dyDescent="0.25">
      <c r="A514" s="1" t="s">
        <v>1063</v>
      </c>
      <c r="B514" t="s">
        <v>1064</v>
      </c>
      <c r="C514" t="s">
        <v>11</v>
      </c>
      <c r="D514" t="s">
        <v>31</v>
      </c>
      <c r="E514" s="4">
        <v>45376</v>
      </c>
      <c r="F514" s="4">
        <v>45380</v>
      </c>
      <c r="G514" s="1">
        <v>2</v>
      </c>
      <c r="H514" s="1">
        <v>5.5</v>
      </c>
      <c r="I514" t="s">
        <v>13</v>
      </c>
      <c r="J514" t="s">
        <v>2144</v>
      </c>
      <c r="K514" t="s">
        <v>28</v>
      </c>
      <c r="L514" s="1" t="str">
        <f t="shared" si="42"/>
        <v>2024</v>
      </c>
      <c r="M514" t="str">
        <f t="shared" si="43"/>
        <v>Mar</v>
      </c>
      <c r="N514" t="str">
        <f t="shared" si="44"/>
        <v>Mon</v>
      </c>
      <c r="O514" s="1">
        <f t="shared" si="45"/>
        <v>4</v>
      </c>
      <c r="P514" s="1">
        <f t="shared" si="46"/>
        <v>11</v>
      </c>
      <c r="Q514" s="1">
        <f>ROUND(G514*H514*VLOOKUP(D514,'Cost Product'!A$1:C$21,3,FALSE),0)</f>
        <v>6</v>
      </c>
      <c r="R514" s="1">
        <f t="shared" si="47"/>
        <v>5</v>
      </c>
    </row>
    <row r="515" spans="1:18" x14ac:dyDescent="0.25">
      <c r="A515" s="1" t="s">
        <v>1065</v>
      </c>
      <c r="B515" t="s">
        <v>1066</v>
      </c>
      <c r="C515" t="s">
        <v>26</v>
      </c>
      <c r="D515" t="s">
        <v>104</v>
      </c>
      <c r="E515" s="4">
        <v>45525</v>
      </c>
      <c r="F515" s="4">
        <v>45529</v>
      </c>
      <c r="G515" s="1">
        <v>2</v>
      </c>
      <c r="H515" s="1">
        <v>4.5</v>
      </c>
      <c r="I515" t="s">
        <v>13</v>
      </c>
      <c r="J515" t="s">
        <v>2143</v>
      </c>
      <c r="K515" t="s">
        <v>14</v>
      </c>
      <c r="L515" s="1" t="str">
        <f t="shared" ref="L515:L578" si="48">TEXT(E515, "YYYY")</f>
        <v>2024</v>
      </c>
      <c r="M515" t="str">
        <f t="shared" ref="M515:M578" si="49">TEXT(E515, "MMM")</f>
        <v>Aug</v>
      </c>
      <c r="N515" t="str">
        <f t="shared" ref="N515:N578" si="50">TEXT(E515, "DDD")</f>
        <v>Wed</v>
      </c>
      <c r="O515" s="1">
        <f t="shared" ref="O515:O578" si="51">DATEDIF(E515, F515, "D")</f>
        <v>4</v>
      </c>
      <c r="P515" s="1">
        <f t="shared" ref="P515:P578" si="52">G515*H515</f>
        <v>9</v>
      </c>
      <c r="Q515" s="1">
        <f>ROUND(G515*H515*VLOOKUP(D515,'Cost Product'!A$1:C$21,3,FALSE),0)</f>
        <v>5</v>
      </c>
      <c r="R515" s="1">
        <f t="shared" ref="R515:R578" si="53">P515-Q515</f>
        <v>4</v>
      </c>
    </row>
    <row r="516" spans="1:18" x14ac:dyDescent="0.25">
      <c r="A516" s="1" t="s">
        <v>1067</v>
      </c>
      <c r="B516" t="s">
        <v>1068</v>
      </c>
      <c r="C516" t="s">
        <v>17</v>
      </c>
      <c r="D516" t="s">
        <v>50</v>
      </c>
      <c r="E516" s="4">
        <v>45376</v>
      </c>
      <c r="F516" s="4">
        <v>45380</v>
      </c>
      <c r="G516" s="1">
        <v>5</v>
      </c>
      <c r="H516" s="1">
        <v>5.25</v>
      </c>
      <c r="I516" t="s">
        <v>13</v>
      </c>
      <c r="J516" t="s">
        <v>2141</v>
      </c>
      <c r="K516" t="s">
        <v>28</v>
      </c>
      <c r="L516" s="1" t="str">
        <f t="shared" si="48"/>
        <v>2024</v>
      </c>
      <c r="M516" t="str">
        <f t="shared" si="49"/>
        <v>Mar</v>
      </c>
      <c r="N516" t="str">
        <f t="shared" si="50"/>
        <v>Mon</v>
      </c>
      <c r="O516" s="1">
        <f t="shared" si="51"/>
        <v>4</v>
      </c>
      <c r="P516" s="1">
        <f t="shared" si="52"/>
        <v>26.25</v>
      </c>
      <c r="Q516" s="1">
        <f>ROUND(G516*H516*VLOOKUP(D516,'Cost Product'!A$1:C$21,3,FALSE),0)</f>
        <v>15</v>
      </c>
      <c r="R516" s="1">
        <f t="shared" si="53"/>
        <v>11.25</v>
      </c>
    </row>
    <row r="517" spans="1:18" x14ac:dyDescent="0.25">
      <c r="A517" s="1" t="s">
        <v>1069</v>
      </c>
      <c r="B517" t="s">
        <v>1070</v>
      </c>
      <c r="C517" t="s">
        <v>11</v>
      </c>
      <c r="D517" t="s">
        <v>39</v>
      </c>
      <c r="E517" s="4">
        <v>45332</v>
      </c>
      <c r="F517" s="4">
        <v>45335</v>
      </c>
      <c r="G517" s="1">
        <v>1</v>
      </c>
      <c r="H517" s="1">
        <v>5.75</v>
      </c>
      <c r="I517" t="s">
        <v>40</v>
      </c>
      <c r="J517" t="s">
        <v>2144</v>
      </c>
      <c r="K517" t="s">
        <v>14</v>
      </c>
      <c r="L517" s="1" t="str">
        <f t="shared" si="48"/>
        <v>2024</v>
      </c>
      <c r="M517" t="str">
        <f t="shared" si="49"/>
        <v>Feb</v>
      </c>
      <c r="N517" t="str">
        <f t="shared" si="50"/>
        <v>Sat</v>
      </c>
      <c r="O517" s="1">
        <f t="shared" si="51"/>
        <v>3</v>
      </c>
      <c r="P517" s="1">
        <f t="shared" si="52"/>
        <v>5.75</v>
      </c>
      <c r="Q517" s="1">
        <f>ROUND(G517*H517*VLOOKUP(D517,'Cost Product'!A$1:C$21,3,FALSE),0)</f>
        <v>3</v>
      </c>
      <c r="R517" s="1">
        <f t="shared" si="53"/>
        <v>2.75</v>
      </c>
    </row>
    <row r="518" spans="1:18" x14ac:dyDescent="0.25">
      <c r="A518" s="1" t="s">
        <v>1071</v>
      </c>
      <c r="B518" t="s">
        <v>1072</v>
      </c>
      <c r="C518" t="s">
        <v>11</v>
      </c>
      <c r="D518" t="s">
        <v>36</v>
      </c>
      <c r="E518" s="4">
        <v>45583</v>
      </c>
      <c r="F518" s="4">
        <v>45584</v>
      </c>
      <c r="G518" s="1">
        <v>3</v>
      </c>
      <c r="H518" s="1">
        <v>6.25</v>
      </c>
      <c r="I518" t="s">
        <v>40</v>
      </c>
      <c r="J518" t="s">
        <v>2141</v>
      </c>
      <c r="K518" t="s">
        <v>19</v>
      </c>
      <c r="L518" s="1" t="str">
        <f t="shared" si="48"/>
        <v>2024</v>
      </c>
      <c r="M518" t="str">
        <f t="shared" si="49"/>
        <v>Oct</v>
      </c>
      <c r="N518" t="str">
        <f t="shared" si="50"/>
        <v>Fri</v>
      </c>
      <c r="O518" s="1">
        <f t="shared" si="51"/>
        <v>1</v>
      </c>
      <c r="P518" s="1">
        <f t="shared" si="52"/>
        <v>18.75</v>
      </c>
      <c r="Q518" s="1">
        <f>ROUND(G518*H518*VLOOKUP(D518,'Cost Product'!A$1:C$21,3,FALSE),0)</f>
        <v>10</v>
      </c>
      <c r="R518" s="1">
        <f t="shared" si="53"/>
        <v>8.75</v>
      </c>
    </row>
    <row r="519" spans="1:18" x14ac:dyDescent="0.25">
      <c r="A519" s="1" t="s">
        <v>1073</v>
      </c>
      <c r="B519" t="s">
        <v>1074</v>
      </c>
      <c r="C519" t="s">
        <v>65</v>
      </c>
      <c r="D519" t="s">
        <v>99</v>
      </c>
      <c r="E519" s="4">
        <v>45512</v>
      </c>
      <c r="F519" s="4">
        <v>45514</v>
      </c>
      <c r="G519" s="1">
        <v>1</v>
      </c>
      <c r="H519" s="1">
        <v>4</v>
      </c>
      <c r="I519" t="s">
        <v>13</v>
      </c>
      <c r="J519" t="s">
        <v>2142</v>
      </c>
      <c r="K519" t="s">
        <v>14</v>
      </c>
      <c r="L519" s="1" t="str">
        <f t="shared" si="48"/>
        <v>2024</v>
      </c>
      <c r="M519" t="str">
        <f t="shared" si="49"/>
        <v>Aug</v>
      </c>
      <c r="N519" t="str">
        <f t="shared" si="50"/>
        <v>Thu</v>
      </c>
      <c r="O519" s="1">
        <f t="shared" si="51"/>
        <v>2</v>
      </c>
      <c r="P519" s="1">
        <f t="shared" si="52"/>
        <v>4</v>
      </c>
      <c r="Q519" s="1">
        <f>ROUND(G519*H519*VLOOKUP(D519,'Cost Product'!A$1:C$21,3,FALSE),0)</f>
        <v>2</v>
      </c>
      <c r="R519" s="1">
        <f t="shared" si="53"/>
        <v>2</v>
      </c>
    </row>
    <row r="520" spans="1:18" x14ac:dyDescent="0.25">
      <c r="A520" s="1" t="s">
        <v>1075</v>
      </c>
      <c r="B520" t="s">
        <v>1076</v>
      </c>
      <c r="C520" t="s">
        <v>11</v>
      </c>
      <c r="D520" t="s">
        <v>36</v>
      </c>
      <c r="E520" s="4">
        <v>45150</v>
      </c>
      <c r="F520" s="4">
        <v>45152</v>
      </c>
      <c r="G520" s="1">
        <v>1</v>
      </c>
      <c r="H520" s="1">
        <v>6.25</v>
      </c>
      <c r="I520" t="s">
        <v>13</v>
      </c>
      <c r="J520" t="s">
        <v>2141</v>
      </c>
      <c r="K520" t="s">
        <v>19</v>
      </c>
      <c r="L520" s="1" t="str">
        <f t="shared" si="48"/>
        <v>2023</v>
      </c>
      <c r="M520" t="str">
        <f t="shared" si="49"/>
        <v>Aug</v>
      </c>
      <c r="N520" t="str">
        <f t="shared" si="50"/>
        <v>Sat</v>
      </c>
      <c r="O520" s="1">
        <f t="shared" si="51"/>
        <v>2</v>
      </c>
      <c r="P520" s="1">
        <f t="shared" si="52"/>
        <v>6.25</v>
      </c>
      <c r="Q520" s="1">
        <f>ROUND(G520*H520*VLOOKUP(D520,'Cost Product'!A$1:C$21,3,FALSE),0)</f>
        <v>3</v>
      </c>
      <c r="R520" s="1">
        <f t="shared" si="53"/>
        <v>3.25</v>
      </c>
    </row>
    <row r="521" spans="1:18" x14ac:dyDescent="0.25">
      <c r="A521" s="1" t="s">
        <v>1077</v>
      </c>
      <c r="B521" t="s">
        <v>1078</v>
      </c>
      <c r="C521" t="s">
        <v>22</v>
      </c>
      <c r="D521" t="s">
        <v>23</v>
      </c>
      <c r="E521" s="4">
        <v>45557</v>
      </c>
      <c r="F521" s="4">
        <v>45564</v>
      </c>
      <c r="G521" s="1">
        <v>3</v>
      </c>
      <c r="H521" s="1">
        <v>10</v>
      </c>
      <c r="I521" t="s">
        <v>40</v>
      </c>
      <c r="J521" t="s">
        <v>2141</v>
      </c>
      <c r="K521" t="s">
        <v>28</v>
      </c>
      <c r="L521" s="1" t="str">
        <f t="shared" si="48"/>
        <v>2024</v>
      </c>
      <c r="M521" t="str">
        <f t="shared" si="49"/>
        <v>Sep</v>
      </c>
      <c r="N521" t="str">
        <f t="shared" si="50"/>
        <v>Sun</v>
      </c>
      <c r="O521" s="1">
        <f t="shared" si="51"/>
        <v>7</v>
      </c>
      <c r="P521" s="1">
        <f t="shared" si="52"/>
        <v>30</v>
      </c>
      <c r="Q521" s="1">
        <f>ROUND(G521*H521*VLOOKUP(D521,'Cost Product'!A$1:C$21,3,FALSE),0)</f>
        <v>20</v>
      </c>
      <c r="R521" s="1">
        <f t="shared" si="53"/>
        <v>10</v>
      </c>
    </row>
    <row r="522" spans="1:18" x14ac:dyDescent="0.25">
      <c r="A522" s="1" t="s">
        <v>1079</v>
      </c>
      <c r="B522" t="s">
        <v>1080</v>
      </c>
      <c r="C522" t="s">
        <v>22</v>
      </c>
      <c r="D522" t="s">
        <v>59</v>
      </c>
      <c r="E522" s="4">
        <v>45494</v>
      </c>
      <c r="F522" s="4">
        <v>45496</v>
      </c>
      <c r="G522" s="1">
        <v>5</v>
      </c>
      <c r="H522" s="1">
        <v>8.5</v>
      </c>
      <c r="I522" t="s">
        <v>13</v>
      </c>
      <c r="J522" t="s">
        <v>2144</v>
      </c>
      <c r="K522" t="s">
        <v>19</v>
      </c>
      <c r="L522" s="1" t="str">
        <f t="shared" si="48"/>
        <v>2024</v>
      </c>
      <c r="M522" t="str">
        <f t="shared" si="49"/>
        <v>Jul</v>
      </c>
      <c r="N522" t="str">
        <f t="shared" si="50"/>
        <v>Sun</v>
      </c>
      <c r="O522" s="1">
        <f t="shared" si="51"/>
        <v>2</v>
      </c>
      <c r="P522" s="1">
        <f t="shared" si="52"/>
        <v>42.5</v>
      </c>
      <c r="Q522" s="1">
        <f>ROUND(G522*H522*VLOOKUP(D522,'Cost Product'!A$1:C$21,3,FALSE),0)</f>
        <v>26</v>
      </c>
      <c r="R522" s="1">
        <f t="shared" si="53"/>
        <v>16.5</v>
      </c>
    </row>
    <row r="523" spans="1:18" x14ac:dyDescent="0.25">
      <c r="A523" s="1" t="s">
        <v>1081</v>
      </c>
      <c r="B523" t="s">
        <v>1082</v>
      </c>
      <c r="C523" t="s">
        <v>11</v>
      </c>
      <c r="D523" t="s">
        <v>31</v>
      </c>
      <c r="E523" s="4">
        <v>45386</v>
      </c>
      <c r="F523" s="4">
        <v>45392</v>
      </c>
      <c r="G523" s="1">
        <v>4</v>
      </c>
      <c r="H523" s="1">
        <v>5.5</v>
      </c>
      <c r="I523" t="s">
        <v>13</v>
      </c>
      <c r="J523" t="s">
        <v>2141</v>
      </c>
      <c r="K523" t="s">
        <v>14</v>
      </c>
      <c r="L523" s="1" t="str">
        <f t="shared" si="48"/>
        <v>2024</v>
      </c>
      <c r="M523" t="str">
        <f t="shared" si="49"/>
        <v>Apr</v>
      </c>
      <c r="N523" t="str">
        <f t="shared" si="50"/>
        <v>Thu</v>
      </c>
      <c r="O523" s="1">
        <f t="shared" si="51"/>
        <v>6</v>
      </c>
      <c r="P523" s="1">
        <f t="shared" si="52"/>
        <v>22</v>
      </c>
      <c r="Q523" s="1">
        <f>ROUND(G523*H523*VLOOKUP(D523,'Cost Product'!A$1:C$21,3,FALSE),0)</f>
        <v>11</v>
      </c>
      <c r="R523" s="1">
        <f t="shared" si="53"/>
        <v>11</v>
      </c>
    </row>
    <row r="524" spans="1:18" x14ac:dyDescent="0.25">
      <c r="A524" s="1" t="s">
        <v>1083</v>
      </c>
      <c r="B524" t="s">
        <v>1084</v>
      </c>
      <c r="C524" t="s">
        <v>17</v>
      </c>
      <c r="D524" t="s">
        <v>53</v>
      </c>
      <c r="E524" s="4">
        <v>45340</v>
      </c>
      <c r="F524" s="4">
        <v>45342</v>
      </c>
      <c r="G524" s="1">
        <v>1</v>
      </c>
      <c r="H524" s="1">
        <v>4.75</v>
      </c>
      <c r="I524" t="s">
        <v>13</v>
      </c>
      <c r="J524" t="s">
        <v>2146</v>
      </c>
      <c r="K524" t="s">
        <v>19</v>
      </c>
      <c r="L524" s="1" t="str">
        <f t="shared" si="48"/>
        <v>2024</v>
      </c>
      <c r="M524" t="str">
        <f t="shared" si="49"/>
        <v>Feb</v>
      </c>
      <c r="N524" t="str">
        <f t="shared" si="50"/>
        <v>Sun</v>
      </c>
      <c r="O524" s="1">
        <f t="shared" si="51"/>
        <v>2</v>
      </c>
      <c r="P524" s="1">
        <f t="shared" si="52"/>
        <v>4.75</v>
      </c>
      <c r="Q524" s="1">
        <f>ROUND(G524*H524*VLOOKUP(D524,'Cost Product'!A$1:C$21,3,FALSE),0)</f>
        <v>3</v>
      </c>
      <c r="R524" s="1">
        <f t="shared" si="53"/>
        <v>1.75</v>
      </c>
    </row>
    <row r="525" spans="1:18" x14ac:dyDescent="0.25">
      <c r="A525" s="1" t="s">
        <v>1085</v>
      </c>
      <c r="B525" t="s">
        <v>1086</v>
      </c>
      <c r="C525" t="s">
        <v>11</v>
      </c>
      <c r="D525" t="s">
        <v>12</v>
      </c>
      <c r="E525" s="4">
        <v>45463</v>
      </c>
      <c r="F525" s="4">
        <v>45466</v>
      </c>
      <c r="G525" s="1">
        <v>5</v>
      </c>
      <c r="H525" s="1">
        <v>6.5</v>
      </c>
      <c r="I525" t="s">
        <v>13</v>
      </c>
      <c r="J525" t="s">
        <v>2141</v>
      </c>
      <c r="K525" t="s">
        <v>28</v>
      </c>
      <c r="L525" s="1" t="str">
        <f t="shared" si="48"/>
        <v>2024</v>
      </c>
      <c r="M525" t="str">
        <f t="shared" si="49"/>
        <v>Jun</v>
      </c>
      <c r="N525" t="str">
        <f t="shared" si="50"/>
        <v>Thu</v>
      </c>
      <c r="O525" s="1">
        <f t="shared" si="51"/>
        <v>3</v>
      </c>
      <c r="P525" s="1">
        <f t="shared" si="52"/>
        <v>32.5</v>
      </c>
      <c r="Q525" s="1">
        <f>ROUND(G525*H525*VLOOKUP(D525,'Cost Product'!A$1:C$21,3,FALSE),0)</f>
        <v>19</v>
      </c>
      <c r="R525" s="1">
        <f t="shared" si="53"/>
        <v>13.5</v>
      </c>
    </row>
    <row r="526" spans="1:18" x14ac:dyDescent="0.25">
      <c r="A526" s="1" t="s">
        <v>1087</v>
      </c>
      <c r="B526" t="s">
        <v>1088</v>
      </c>
      <c r="C526" t="s">
        <v>65</v>
      </c>
      <c r="D526" t="s">
        <v>115</v>
      </c>
      <c r="E526" s="4">
        <v>45319</v>
      </c>
      <c r="F526" s="4">
        <v>45321</v>
      </c>
      <c r="G526" s="1">
        <v>2</v>
      </c>
      <c r="H526" s="1">
        <v>3</v>
      </c>
      <c r="I526" t="s">
        <v>13</v>
      </c>
      <c r="J526" t="s">
        <v>2143</v>
      </c>
      <c r="K526" t="s">
        <v>19</v>
      </c>
      <c r="L526" s="1" t="str">
        <f t="shared" si="48"/>
        <v>2024</v>
      </c>
      <c r="M526" t="str">
        <f t="shared" si="49"/>
        <v>Jan</v>
      </c>
      <c r="N526" t="str">
        <f t="shared" si="50"/>
        <v>Sun</v>
      </c>
      <c r="O526" s="1">
        <f t="shared" si="51"/>
        <v>2</v>
      </c>
      <c r="P526" s="1">
        <f t="shared" si="52"/>
        <v>6</v>
      </c>
      <c r="Q526" s="1">
        <f>ROUND(G526*H526*VLOOKUP(D526,'Cost Product'!A$1:C$21,3,FALSE),0)</f>
        <v>3</v>
      </c>
      <c r="R526" s="1">
        <f t="shared" si="53"/>
        <v>3</v>
      </c>
    </row>
    <row r="527" spans="1:18" x14ac:dyDescent="0.25">
      <c r="A527" s="1" t="s">
        <v>1089</v>
      </c>
      <c r="B527" t="s">
        <v>1090</v>
      </c>
      <c r="C527" t="s">
        <v>26</v>
      </c>
      <c r="D527" t="s">
        <v>104</v>
      </c>
      <c r="E527" s="4">
        <v>45518</v>
      </c>
      <c r="F527" s="4">
        <v>45531</v>
      </c>
      <c r="G527" s="1">
        <v>3</v>
      </c>
      <c r="H527" s="1">
        <v>4.5</v>
      </c>
      <c r="I527" t="s">
        <v>13</v>
      </c>
      <c r="J527" t="s">
        <v>2146</v>
      </c>
      <c r="K527" t="s">
        <v>28</v>
      </c>
      <c r="L527" s="1" t="str">
        <f t="shared" si="48"/>
        <v>2024</v>
      </c>
      <c r="M527" t="str">
        <f t="shared" si="49"/>
        <v>Aug</v>
      </c>
      <c r="N527" t="str">
        <f t="shared" si="50"/>
        <v>Wed</v>
      </c>
      <c r="O527" s="1">
        <f t="shared" si="51"/>
        <v>13</v>
      </c>
      <c r="P527" s="1">
        <f t="shared" si="52"/>
        <v>13.5</v>
      </c>
      <c r="Q527" s="1">
        <f>ROUND(G527*H527*VLOOKUP(D527,'Cost Product'!A$1:C$21,3,FALSE),0)</f>
        <v>7</v>
      </c>
      <c r="R527" s="1">
        <f t="shared" si="53"/>
        <v>6.5</v>
      </c>
    </row>
    <row r="528" spans="1:18" x14ac:dyDescent="0.25">
      <c r="A528" s="1" t="s">
        <v>1091</v>
      </c>
      <c r="B528" t="s">
        <v>1092</v>
      </c>
      <c r="C528" t="s">
        <v>22</v>
      </c>
      <c r="D528" t="s">
        <v>62</v>
      </c>
      <c r="E528" s="4">
        <v>45316</v>
      </c>
      <c r="F528" s="4">
        <v>45318</v>
      </c>
      <c r="G528" s="1">
        <v>5</v>
      </c>
      <c r="H528" s="1">
        <v>8</v>
      </c>
      <c r="I528" t="s">
        <v>40</v>
      </c>
      <c r="J528" t="s">
        <v>2142</v>
      </c>
      <c r="K528" t="s">
        <v>28</v>
      </c>
      <c r="L528" s="1" t="str">
        <f t="shared" si="48"/>
        <v>2024</v>
      </c>
      <c r="M528" t="str">
        <f t="shared" si="49"/>
        <v>Jan</v>
      </c>
      <c r="N528" t="str">
        <f t="shared" si="50"/>
        <v>Thu</v>
      </c>
      <c r="O528" s="1">
        <f t="shared" si="51"/>
        <v>2</v>
      </c>
      <c r="P528" s="1">
        <f t="shared" si="52"/>
        <v>40</v>
      </c>
      <c r="Q528" s="1">
        <f>ROUND(G528*H528*VLOOKUP(D528,'Cost Product'!A$1:C$21,3,FALSE),0)</f>
        <v>23</v>
      </c>
      <c r="R528" s="1">
        <f t="shared" si="53"/>
        <v>17</v>
      </c>
    </row>
    <row r="529" spans="1:18" x14ac:dyDescent="0.25">
      <c r="A529" s="1" t="s">
        <v>1093</v>
      </c>
      <c r="B529" t="s">
        <v>1094</v>
      </c>
      <c r="C529" t="s">
        <v>26</v>
      </c>
      <c r="D529" t="s">
        <v>45</v>
      </c>
      <c r="E529" s="4">
        <v>45343</v>
      </c>
      <c r="F529" s="4">
        <v>45344</v>
      </c>
      <c r="G529" s="1">
        <v>2</v>
      </c>
      <c r="H529" s="1">
        <v>4.5</v>
      </c>
      <c r="I529" t="s">
        <v>13</v>
      </c>
      <c r="J529" t="s">
        <v>2142</v>
      </c>
      <c r="K529" t="s">
        <v>19</v>
      </c>
      <c r="L529" s="1" t="str">
        <f t="shared" si="48"/>
        <v>2024</v>
      </c>
      <c r="M529" t="str">
        <f t="shared" si="49"/>
        <v>Feb</v>
      </c>
      <c r="N529" t="str">
        <f t="shared" si="50"/>
        <v>Wed</v>
      </c>
      <c r="O529" s="1">
        <f t="shared" si="51"/>
        <v>1</v>
      </c>
      <c r="P529" s="1">
        <f t="shared" si="52"/>
        <v>9</v>
      </c>
      <c r="Q529" s="1">
        <f>ROUND(G529*H529*VLOOKUP(D529,'Cost Product'!A$1:C$21,3,FALSE),0)</f>
        <v>5</v>
      </c>
      <c r="R529" s="1">
        <f t="shared" si="53"/>
        <v>4</v>
      </c>
    </row>
    <row r="530" spans="1:18" x14ac:dyDescent="0.25">
      <c r="A530" s="1" t="s">
        <v>1095</v>
      </c>
      <c r="B530" t="s">
        <v>1096</v>
      </c>
      <c r="C530" t="s">
        <v>26</v>
      </c>
      <c r="D530" t="s">
        <v>104</v>
      </c>
      <c r="E530" s="4">
        <v>45224</v>
      </c>
      <c r="F530" s="4">
        <v>45226</v>
      </c>
      <c r="G530" s="1">
        <v>2</v>
      </c>
      <c r="H530" s="1">
        <v>4.5</v>
      </c>
      <c r="I530" t="s">
        <v>13</v>
      </c>
      <c r="J530" t="s">
        <v>2143</v>
      </c>
      <c r="K530" t="s">
        <v>14</v>
      </c>
      <c r="L530" s="1" t="str">
        <f t="shared" si="48"/>
        <v>2023</v>
      </c>
      <c r="M530" t="str">
        <f t="shared" si="49"/>
        <v>Oct</v>
      </c>
      <c r="N530" t="str">
        <f t="shared" si="50"/>
        <v>Wed</v>
      </c>
      <c r="O530" s="1">
        <f t="shared" si="51"/>
        <v>2</v>
      </c>
      <c r="P530" s="1">
        <f t="shared" si="52"/>
        <v>9</v>
      </c>
      <c r="Q530" s="1">
        <f>ROUND(G530*H530*VLOOKUP(D530,'Cost Product'!A$1:C$21,3,FALSE),0)</f>
        <v>5</v>
      </c>
      <c r="R530" s="1">
        <f t="shared" si="53"/>
        <v>4</v>
      </c>
    </row>
    <row r="531" spans="1:18" x14ac:dyDescent="0.25">
      <c r="A531" s="1" t="s">
        <v>1097</v>
      </c>
      <c r="B531" t="s">
        <v>1098</v>
      </c>
      <c r="C531" t="s">
        <v>22</v>
      </c>
      <c r="D531" t="s">
        <v>59</v>
      </c>
      <c r="E531" s="4">
        <v>45414</v>
      </c>
      <c r="F531" s="4">
        <v>45415</v>
      </c>
      <c r="G531" s="1">
        <v>2</v>
      </c>
      <c r="H531" s="1">
        <v>8.5</v>
      </c>
      <c r="I531" t="s">
        <v>13</v>
      </c>
      <c r="J531" t="s">
        <v>2143</v>
      </c>
      <c r="K531" t="s">
        <v>19</v>
      </c>
      <c r="L531" s="1" t="str">
        <f t="shared" si="48"/>
        <v>2024</v>
      </c>
      <c r="M531" t="str">
        <f t="shared" si="49"/>
        <v>May</v>
      </c>
      <c r="N531" t="str">
        <f t="shared" si="50"/>
        <v>Thu</v>
      </c>
      <c r="O531" s="1">
        <f t="shared" si="51"/>
        <v>1</v>
      </c>
      <c r="P531" s="1">
        <f t="shared" si="52"/>
        <v>17</v>
      </c>
      <c r="Q531" s="1">
        <f>ROUND(G531*H531*VLOOKUP(D531,'Cost Product'!A$1:C$21,3,FALSE),0)</f>
        <v>10</v>
      </c>
      <c r="R531" s="1">
        <f t="shared" si="53"/>
        <v>7</v>
      </c>
    </row>
    <row r="532" spans="1:18" x14ac:dyDescent="0.25">
      <c r="A532" s="1" t="s">
        <v>1099</v>
      </c>
      <c r="B532" t="s">
        <v>1100</v>
      </c>
      <c r="C532" t="s">
        <v>22</v>
      </c>
      <c r="D532" t="s">
        <v>59</v>
      </c>
      <c r="E532" s="4">
        <v>45278</v>
      </c>
      <c r="F532" s="4">
        <v>45279</v>
      </c>
      <c r="G532" s="1">
        <v>1</v>
      </c>
      <c r="H532" s="1">
        <v>8.5</v>
      </c>
      <c r="I532" t="s">
        <v>13</v>
      </c>
      <c r="J532" t="s">
        <v>2144</v>
      </c>
      <c r="K532" t="s">
        <v>28</v>
      </c>
      <c r="L532" s="1" t="str">
        <f t="shared" si="48"/>
        <v>2023</v>
      </c>
      <c r="M532" t="str">
        <f t="shared" si="49"/>
        <v>Dec</v>
      </c>
      <c r="N532" t="str">
        <f t="shared" si="50"/>
        <v>Mon</v>
      </c>
      <c r="O532" s="1">
        <f t="shared" si="51"/>
        <v>1</v>
      </c>
      <c r="P532" s="1">
        <f t="shared" si="52"/>
        <v>8.5</v>
      </c>
      <c r="Q532" s="1">
        <f>ROUND(G532*H532*VLOOKUP(D532,'Cost Product'!A$1:C$21,3,FALSE),0)</f>
        <v>5</v>
      </c>
      <c r="R532" s="1">
        <f t="shared" si="53"/>
        <v>3.5</v>
      </c>
    </row>
    <row r="533" spans="1:18" x14ac:dyDescent="0.25">
      <c r="A533" s="1" t="s">
        <v>1101</v>
      </c>
      <c r="B533" t="s">
        <v>1102</v>
      </c>
      <c r="C533" t="s">
        <v>17</v>
      </c>
      <c r="D533" t="s">
        <v>53</v>
      </c>
      <c r="E533" s="4">
        <v>45343</v>
      </c>
      <c r="F533" s="4">
        <v>45344</v>
      </c>
      <c r="G533" s="1">
        <v>5</v>
      </c>
      <c r="H533" s="1">
        <v>4.75</v>
      </c>
      <c r="I533" t="s">
        <v>40</v>
      </c>
      <c r="J533" t="s">
        <v>2142</v>
      </c>
      <c r="K533" t="s">
        <v>28</v>
      </c>
      <c r="L533" s="1" t="str">
        <f t="shared" si="48"/>
        <v>2024</v>
      </c>
      <c r="M533" t="str">
        <f t="shared" si="49"/>
        <v>Feb</v>
      </c>
      <c r="N533" t="str">
        <f t="shared" si="50"/>
        <v>Wed</v>
      </c>
      <c r="O533" s="1">
        <f t="shared" si="51"/>
        <v>1</v>
      </c>
      <c r="P533" s="1">
        <f t="shared" si="52"/>
        <v>23.75</v>
      </c>
      <c r="Q533" s="1">
        <f>ROUND(G533*H533*VLOOKUP(D533,'Cost Product'!A$1:C$21,3,FALSE),0)</f>
        <v>13</v>
      </c>
      <c r="R533" s="1">
        <f t="shared" si="53"/>
        <v>10.75</v>
      </c>
    </row>
    <row r="534" spans="1:18" x14ac:dyDescent="0.25">
      <c r="A534" s="1" t="s">
        <v>1103</v>
      </c>
      <c r="B534" t="s">
        <v>1104</v>
      </c>
      <c r="C534" t="s">
        <v>17</v>
      </c>
      <c r="D534" t="s">
        <v>50</v>
      </c>
      <c r="E534" s="4">
        <v>45225</v>
      </c>
      <c r="F534" s="4">
        <v>45227</v>
      </c>
      <c r="G534" s="1">
        <v>1</v>
      </c>
      <c r="H534" s="1">
        <v>5.25</v>
      </c>
      <c r="I534" t="s">
        <v>13</v>
      </c>
      <c r="J534" t="s">
        <v>2141</v>
      </c>
      <c r="K534" t="s">
        <v>28</v>
      </c>
      <c r="L534" s="1" t="str">
        <f t="shared" si="48"/>
        <v>2023</v>
      </c>
      <c r="M534" t="str">
        <f t="shared" si="49"/>
        <v>Oct</v>
      </c>
      <c r="N534" t="str">
        <f t="shared" si="50"/>
        <v>Thu</v>
      </c>
      <c r="O534" s="1">
        <f t="shared" si="51"/>
        <v>2</v>
      </c>
      <c r="P534" s="1">
        <f t="shared" si="52"/>
        <v>5.25</v>
      </c>
      <c r="Q534" s="1">
        <f>ROUND(G534*H534*VLOOKUP(D534,'Cost Product'!A$1:C$21,3,FALSE),0)</f>
        <v>3</v>
      </c>
      <c r="R534" s="1">
        <f t="shared" si="53"/>
        <v>2.25</v>
      </c>
    </row>
    <row r="535" spans="1:18" x14ac:dyDescent="0.25">
      <c r="A535" s="1" t="s">
        <v>1105</v>
      </c>
      <c r="B535" t="s">
        <v>1106</v>
      </c>
      <c r="C535" t="s">
        <v>22</v>
      </c>
      <c r="D535" t="s">
        <v>56</v>
      </c>
      <c r="E535" s="4">
        <v>45247</v>
      </c>
      <c r="F535" s="4">
        <v>45251</v>
      </c>
      <c r="G535" s="1">
        <v>5</v>
      </c>
      <c r="H535" s="1">
        <v>8.75</v>
      </c>
      <c r="I535" t="s">
        <v>40</v>
      </c>
      <c r="J535" t="s">
        <v>2145</v>
      </c>
      <c r="K535" t="s">
        <v>28</v>
      </c>
      <c r="L535" s="1" t="str">
        <f t="shared" si="48"/>
        <v>2023</v>
      </c>
      <c r="M535" t="str">
        <f t="shared" si="49"/>
        <v>Nov</v>
      </c>
      <c r="N535" t="str">
        <f t="shared" si="50"/>
        <v>Fri</v>
      </c>
      <c r="O535" s="1">
        <f t="shared" si="51"/>
        <v>4</v>
      </c>
      <c r="P535" s="1">
        <f t="shared" si="52"/>
        <v>43.75</v>
      </c>
      <c r="Q535" s="1">
        <f>ROUND(G535*H535*VLOOKUP(D535,'Cost Product'!A$1:C$21,3,FALSE),0)</f>
        <v>25</v>
      </c>
      <c r="R535" s="1">
        <f t="shared" si="53"/>
        <v>18.75</v>
      </c>
    </row>
    <row r="536" spans="1:18" x14ac:dyDescent="0.25">
      <c r="A536" s="1" t="s">
        <v>1107</v>
      </c>
      <c r="B536" t="s">
        <v>1108</v>
      </c>
      <c r="C536" t="s">
        <v>65</v>
      </c>
      <c r="D536" t="s">
        <v>115</v>
      </c>
      <c r="E536" s="4">
        <v>45450</v>
      </c>
      <c r="F536" s="4">
        <v>45451</v>
      </c>
      <c r="G536" s="1">
        <v>3</v>
      </c>
      <c r="H536" s="1">
        <v>3</v>
      </c>
      <c r="I536" t="s">
        <v>13</v>
      </c>
      <c r="J536" t="s">
        <v>2143</v>
      </c>
      <c r="K536" t="s">
        <v>19</v>
      </c>
      <c r="L536" s="1" t="str">
        <f t="shared" si="48"/>
        <v>2024</v>
      </c>
      <c r="M536" t="str">
        <f t="shared" si="49"/>
        <v>Jun</v>
      </c>
      <c r="N536" t="str">
        <f t="shared" si="50"/>
        <v>Fri</v>
      </c>
      <c r="O536" s="1">
        <f t="shared" si="51"/>
        <v>1</v>
      </c>
      <c r="P536" s="1">
        <f t="shared" si="52"/>
        <v>9</v>
      </c>
      <c r="Q536" s="1">
        <f>ROUND(G536*H536*VLOOKUP(D536,'Cost Product'!A$1:C$21,3,FALSE),0)</f>
        <v>4</v>
      </c>
      <c r="R536" s="1">
        <f t="shared" si="53"/>
        <v>5</v>
      </c>
    </row>
    <row r="537" spans="1:18" x14ac:dyDescent="0.25">
      <c r="A537" s="1" t="s">
        <v>1109</v>
      </c>
      <c r="B537" t="s">
        <v>1110</v>
      </c>
      <c r="C537" t="s">
        <v>22</v>
      </c>
      <c r="D537" t="s">
        <v>62</v>
      </c>
      <c r="E537" s="4">
        <v>45350</v>
      </c>
      <c r="F537" s="4">
        <v>45351</v>
      </c>
      <c r="G537" s="1">
        <v>1</v>
      </c>
      <c r="H537" s="1">
        <v>8</v>
      </c>
      <c r="I537" t="s">
        <v>40</v>
      </c>
      <c r="J537" t="s">
        <v>2141</v>
      </c>
      <c r="K537" t="s">
        <v>28</v>
      </c>
      <c r="L537" s="1" t="str">
        <f t="shared" si="48"/>
        <v>2024</v>
      </c>
      <c r="M537" t="str">
        <f t="shared" si="49"/>
        <v>Feb</v>
      </c>
      <c r="N537" t="str">
        <f t="shared" si="50"/>
        <v>Wed</v>
      </c>
      <c r="O537" s="1">
        <f t="shared" si="51"/>
        <v>1</v>
      </c>
      <c r="P537" s="1">
        <f t="shared" si="52"/>
        <v>8</v>
      </c>
      <c r="Q537" s="1">
        <f>ROUND(G537*H537*VLOOKUP(D537,'Cost Product'!A$1:C$21,3,FALSE),0)</f>
        <v>5</v>
      </c>
      <c r="R537" s="1">
        <f t="shared" si="53"/>
        <v>3</v>
      </c>
    </row>
    <row r="538" spans="1:18" x14ac:dyDescent="0.25">
      <c r="A538" s="1" t="s">
        <v>1111</v>
      </c>
      <c r="B538" t="s">
        <v>1112</v>
      </c>
      <c r="C538" t="s">
        <v>26</v>
      </c>
      <c r="D538" t="s">
        <v>82</v>
      </c>
      <c r="E538" s="4">
        <v>45236</v>
      </c>
      <c r="F538" s="4">
        <v>45243</v>
      </c>
      <c r="G538" s="1">
        <v>4</v>
      </c>
      <c r="H538" s="1">
        <v>4.25</v>
      </c>
      <c r="I538" t="s">
        <v>13</v>
      </c>
      <c r="J538" t="s">
        <v>2141</v>
      </c>
      <c r="K538" t="s">
        <v>28</v>
      </c>
      <c r="L538" s="1" t="str">
        <f t="shared" si="48"/>
        <v>2023</v>
      </c>
      <c r="M538" t="str">
        <f t="shared" si="49"/>
        <v>Nov</v>
      </c>
      <c r="N538" t="str">
        <f t="shared" si="50"/>
        <v>Mon</v>
      </c>
      <c r="O538" s="1">
        <f t="shared" si="51"/>
        <v>7</v>
      </c>
      <c r="P538" s="1">
        <f t="shared" si="52"/>
        <v>17</v>
      </c>
      <c r="Q538" s="1">
        <f>ROUND(G538*H538*VLOOKUP(D538,'Cost Product'!A$1:C$21,3,FALSE),0)</f>
        <v>8</v>
      </c>
      <c r="R538" s="1">
        <f t="shared" si="53"/>
        <v>9</v>
      </c>
    </row>
    <row r="539" spans="1:18" x14ac:dyDescent="0.25">
      <c r="A539" s="1" t="s">
        <v>1113</v>
      </c>
      <c r="B539" t="s">
        <v>1114</v>
      </c>
      <c r="C539" t="s">
        <v>26</v>
      </c>
      <c r="D539" t="s">
        <v>45</v>
      </c>
      <c r="E539" s="4">
        <v>45491</v>
      </c>
      <c r="F539" s="4">
        <v>45504</v>
      </c>
      <c r="G539" s="1">
        <v>3</v>
      </c>
      <c r="H539" s="1">
        <v>4.5</v>
      </c>
      <c r="I539" t="s">
        <v>13</v>
      </c>
      <c r="J539" t="s">
        <v>2142</v>
      </c>
      <c r="K539" t="s">
        <v>28</v>
      </c>
      <c r="L539" s="1" t="str">
        <f t="shared" si="48"/>
        <v>2024</v>
      </c>
      <c r="M539" t="str">
        <f t="shared" si="49"/>
        <v>Jul</v>
      </c>
      <c r="N539" t="str">
        <f t="shared" si="50"/>
        <v>Thu</v>
      </c>
      <c r="O539" s="1">
        <f t="shared" si="51"/>
        <v>13</v>
      </c>
      <c r="P539" s="1">
        <f t="shared" si="52"/>
        <v>13.5</v>
      </c>
      <c r="Q539" s="1">
        <f>ROUND(G539*H539*VLOOKUP(D539,'Cost Product'!A$1:C$21,3,FALSE),0)</f>
        <v>7</v>
      </c>
      <c r="R539" s="1">
        <f t="shared" si="53"/>
        <v>6.5</v>
      </c>
    </row>
    <row r="540" spans="1:18" x14ac:dyDescent="0.25">
      <c r="A540" s="1" t="s">
        <v>1115</v>
      </c>
      <c r="B540" t="s">
        <v>1116</v>
      </c>
      <c r="C540" t="s">
        <v>22</v>
      </c>
      <c r="D540" t="s">
        <v>59</v>
      </c>
      <c r="E540" s="4">
        <v>45493</v>
      </c>
      <c r="F540" s="4">
        <v>45495</v>
      </c>
      <c r="G540" s="1">
        <v>2</v>
      </c>
      <c r="H540" s="1">
        <v>8.5</v>
      </c>
      <c r="I540" t="s">
        <v>13</v>
      </c>
      <c r="J540" t="s">
        <v>2141</v>
      </c>
      <c r="K540" t="s">
        <v>14</v>
      </c>
      <c r="L540" s="1" t="str">
        <f t="shared" si="48"/>
        <v>2024</v>
      </c>
      <c r="M540" t="str">
        <f t="shared" si="49"/>
        <v>Jul</v>
      </c>
      <c r="N540" t="str">
        <f t="shared" si="50"/>
        <v>Sat</v>
      </c>
      <c r="O540" s="1">
        <f t="shared" si="51"/>
        <v>2</v>
      </c>
      <c r="P540" s="1">
        <f t="shared" si="52"/>
        <v>17</v>
      </c>
      <c r="Q540" s="1">
        <f>ROUND(G540*H540*VLOOKUP(D540,'Cost Product'!A$1:C$21,3,FALSE),0)</f>
        <v>10</v>
      </c>
      <c r="R540" s="1">
        <f t="shared" si="53"/>
        <v>7</v>
      </c>
    </row>
    <row r="541" spans="1:18" x14ac:dyDescent="0.25">
      <c r="A541" s="1" t="s">
        <v>1117</v>
      </c>
      <c r="B541" t="s">
        <v>1118</v>
      </c>
      <c r="C541" t="s">
        <v>17</v>
      </c>
      <c r="D541" t="s">
        <v>50</v>
      </c>
      <c r="E541" s="4">
        <v>45593</v>
      </c>
      <c r="F541" s="4">
        <v>45598</v>
      </c>
      <c r="G541" s="1">
        <v>1</v>
      </c>
      <c r="H541" s="1">
        <v>5.25</v>
      </c>
      <c r="I541" t="s">
        <v>13</v>
      </c>
      <c r="J541" t="s">
        <v>2142</v>
      </c>
      <c r="K541" t="s">
        <v>19</v>
      </c>
      <c r="L541" s="1" t="str">
        <f t="shared" si="48"/>
        <v>2024</v>
      </c>
      <c r="M541" t="str">
        <f t="shared" si="49"/>
        <v>Oct</v>
      </c>
      <c r="N541" t="str">
        <f t="shared" si="50"/>
        <v>Mon</v>
      </c>
      <c r="O541" s="1">
        <f t="shared" si="51"/>
        <v>5</v>
      </c>
      <c r="P541" s="1">
        <f t="shared" si="52"/>
        <v>5.25</v>
      </c>
      <c r="Q541" s="1">
        <f>ROUND(G541*H541*VLOOKUP(D541,'Cost Product'!A$1:C$21,3,FALSE),0)</f>
        <v>3</v>
      </c>
      <c r="R541" s="1">
        <f t="shared" si="53"/>
        <v>2.25</v>
      </c>
    </row>
    <row r="542" spans="1:18" x14ac:dyDescent="0.25">
      <c r="A542" s="1" t="s">
        <v>1119</v>
      </c>
      <c r="B542" t="s">
        <v>1120</v>
      </c>
      <c r="C542" t="s">
        <v>22</v>
      </c>
      <c r="D542" t="s">
        <v>23</v>
      </c>
      <c r="E542" s="4">
        <v>45397</v>
      </c>
      <c r="F542" s="4">
        <v>45404</v>
      </c>
      <c r="G542" s="1">
        <v>5</v>
      </c>
      <c r="H542" s="1">
        <v>10</v>
      </c>
      <c r="I542" t="s">
        <v>13</v>
      </c>
      <c r="J542" t="s">
        <v>2141</v>
      </c>
      <c r="K542" t="s">
        <v>28</v>
      </c>
      <c r="L542" s="1" t="str">
        <f t="shared" si="48"/>
        <v>2024</v>
      </c>
      <c r="M542" t="str">
        <f t="shared" si="49"/>
        <v>Apr</v>
      </c>
      <c r="N542" t="str">
        <f t="shared" si="50"/>
        <v>Mon</v>
      </c>
      <c r="O542" s="1">
        <f t="shared" si="51"/>
        <v>7</v>
      </c>
      <c r="P542" s="1">
        <f t="shared" si="52"/>
        <v>50</v>
      </c>
      <c r="Q542" s="1">
        <f>ROUND(G542*H542*VLOOKUP(D542,'Cost Product'!A$1:C$21,3,FALSE),0)</f>
        <v>33</v>
      </c>
      <c r="R542" s="1">
        <f t="shared" si="53"/>
        <v>17</v>
      </c>
    </row>
    <row r="543" spans="1:18" x14ac:dyDescent="0.25">
      <c r="A543" s="1" t="s">
        <v>1121</v>
      </c>
      <c r="B543" t="s">
        <v>1122</v>
      </c>
      <c r="C543" t="s">
        <v>17</v>
      </c>
      <c r="D543" t="s">
        <v>53</v>
      </c>
      <c r="E543" s="4">
        <v>45277</v>
      </c>
      <c r="F543" s="4">
        <v>45290</v>
      </c>
      <c r="G543" s="1">
        <v>2</v>
      </c>
      <c r="H543" s="1">
        <v>4.75</v>
      </c>
      <c r="I543" t="s">
        <v>13</v>
      </c>
      <c r="J543" t="s">
        <v>2144</v>
      </c>
      <c r="K543" t="s">
        <v>28</v>
      </c>
      <c r="L543" s="1" t="str">
        <f t="shared" si="48"/>
        <v>2023</v>
      </c>
      <c r="M543" t="str">
        <f t="shared" si="49"/>
        <v>Dec</v>
      </c>
      <c r="N543" t="str">
        <f t="shared" si="50"/>
        <v>Sun</v>
      </c>
      <c r="O543" s="1">
        <f t="shared" si="51"/>
        <v>13</v>
      </c>
      <c r="P543" s="1">
        <f t="shared" si="52"/>
        <v>9.5</v>
      </c>
      <c r="Q543" s="1">
        <f>ROUND(G543*H543*VLOOKUP(D543,'Cost Product'!A$1:C$21,3,FALSE),0)</f>
        <v>5</v>
      </c>
      <c r="R543" s="1">
        <f t="shared" si="53"/>
        <v>4.5</v>
      </c>
    </row>
    <row r="544" spans="1:18" x14ac:dyDescent="0.25">
      <c r="A544" s="1" t="s">
        <v>1123</v>
      </c>
      <c r="B544" t="s">
        <v>1124</v>
      </c>
      <c r="C544" t="s">
        <v>22</v>
      </c>
      <c r="D544" t="s">
        <v>62</v>
      </c>
      <c r="E544" s="4">
        <v>45193</v>
      </c>
      <c r="F544" s="4">
        <v>45194</v>
      </c>
      <c r="G544" s="1">
        <v>3</v>
      </c>
      <c r="H544" s="1">
        <v>8</v>
      </c>
      <c r="I544" t="s">
        <v>13</v>
      </c>
      <c r="J544" t="s">
        <v>2141</v>
      </c>
      <c r="K544" t="s">
        <v>14</v>
      </c>
      <c r="L544" s="1" t="str">
        <f t="shared" si="48"/>
        <v>2023</v>
      </c>
      <c r="M544" t="str">
        <f t="shared" si="49"/>
        <v>Sep</v>
      </c>
      <c r="N544" t="str">
        <f t="shared" si="50"/>
        <v>Sun</v>
      </c>
      <c r="O544" s="1">
        <f t="shared" si="51"/>
        <v>1</v>
      </c>
      <c r="P544" s="1">
        <f t="shared" si="52"/>
        <v>24</v>
      </c>
      <c r="Q544" s="1">
        <f>ROUND(G544*H544*VLOOKUP(D544,'Cost Product'!A$1:C$21,3,FALSE),0)</f>
        <v>14</v>
      </c>
      <c r="R544" s="1">
        <f t="shared" si="53"/>
        <v>10</v>
      </c>
    </row>
    <row r="545" spans="1:18" x14ac:dyDescent="0.25">
      <c r="A545" s="1" t="s">
        <v>1125</v>
      </c>
      <c r="B545" t="s">
        <v>1126</v>
      </c>
      <c r="C545" t="s">
        <v>65</v>
      </c>
      <c r="D545" t="s">
        <v>99</v>
      </c>
      <c r="E545" s="4">
        <v>45510</v>
      </c>
      <c r="F545" s="4">
        <v>45514</v>
      </c>
      <c r="G545" s="1">
        <v>3</v>
      </c>
      <c r="H545" s="1">
        <v>4</v>
      </c>
      <c r="I545" t="s">
        <v>40</v>
      </c>
      <c r="J545" t="s">
        <v>2142</v>
      </c>
      <c r="K545" t="s">
        <v>28</v>
      </c>
      <c r="L545" s="1" t="str">
        <f t="shared" si="48"/>
        <v>2024</v>
      </c>
      <c r="M545" t="str">
        <f t="shared" si="49"/>
        <v>Aug</v>
      </c>
      <c r="N545" t="str">
        <f t="shared" si="50"/>
        <v>Tue</v>
      </c>
      <c r="O545" s="1">
        <f t="shared" si="51"/>
        <v>4</v>
      </c>
      <c r="P545" s="1">
        <f t="shared" si="52"/>
        <v>12</v>
      </c>
      <c r="Q545" s="1">
        <f>ROUND(G545*H545*VLOOKUP(D545,'Cost Product'!A$1:C$21,3,FALSE),0)</f>
        <v>6</v>
      </c>
      <c r="R545" s="1">
        <f t="shared" si="53"/>
        <v>6</v>
      </c>
    </row>
    <row r="546" spans="1:18" x14ac:dyDescent="0.25">
      <c r="A546" s="1" t="s">
        <v>1127</v>
      </c>
      <c r="B546" t="s">
        <v>1128</v>
      </c>
      <c r="C546" t="s">
        <v>17</v>
      </c>
      <c r="D546" t="s">
        <v>79</v>
      </c>
      <c r="E546" s="4">
        <v>45188</v>
      </c>
      <c r="F546" s="4">
        <v>45189</v>
      </c>
      <c r="G546" s="1">
        <v>3</v>
      </c>
      <c r="H546" s="1">
        <v>5</v>
      </c>
      <c r="I546" t="s">
        <v>13</v>
      </c>
      <c r="J546" t="s">
        <v>2142</v>
      </c>
      <c r="K546" t="s">
        <v>28</v>
      </c>
      <c r="L546" s="1" t="str">
        <f t="shared" si="48"/>
        <v>2023</v>
      </c>
      <c r="M546" t="str">
        <f t="shared" si="49"/>
        <v>Sep</v>
      </c>
      <c r="N546" t="str">
        <f t="shared" si="50"/>
        <v>Tue</v>
      </c>
      <c r="O546" s="1">
        <f t="shared" si="51"/>
        <v>1</v>
      </c>
      <c r="P546" s="1">
        <f t="shared" si="52"/>
        <v>15</v>
      </c>
      <c r="Q546" s="1">
        <f>ROUND(G546*H546*VLOOKUP(D546,'Cost Product'!A$1:C$21,3,FALSE),0)</f>
        <v>8</v>
      </c>
      <c r="R546" s="1">
        <f t="shared" si="53"/>
        <v>7</v>
      </c>
    </row>
    <row r="547" spans="1:18" x14ac:dyDescent="0.25">
      <c r="A547" s="1" t="s">
        <v>1129</v>
      </c>
      <c r="B547" t="s">
        <v>1130</v>
      </c>
      <c r="C547" t="s">
        <v>17</v>
      </c>
      <c r="D547" t="s">
        <v>18</v>
      </c>
      <c r="E547" s="4">
        <v>45504</v>
      </c>
      <c r="F547" s="4">
        <v>45506</v>
      </c>
      <c r="G547" s="1">
        <v>2</v>
      </c>
      <c r="H547" s="1">
        <v>5.5</v>
      </c>
      <c r="I547" t="s">
        <v>13</v>
      </c>
      <c r="J547" t="s">
        <v>2146</v>
      </c>
      <c r="K547" t="s">
        <v>28</v>
      </c>
      <c r="L547" s="1" t="str">
        <f t="shared" si="48"/>
        <v>2024</v>
      </c>
      <c r="M547" t="str">
        <f t="shared" si="49"/>
        <v>Jul</v>
      </c>
      <c r="N547" t="str">
        <f t="shared" si="50"/>
        <v>Wed</v>
      </c>
      <c r="O547" s="1">
        <f t="shared" si="51"/>
        <v>2</v>
      </c>
      <c r="P547" s="1">
        <f t="shared" si="52"/>
        <v>11</v>
      </c>
      <c r="Q547" s="1">
        <f>ROUND(G547*H547*VLOOKUP(D547,'Cost Product'!A$1:C$21,3,FALSE),0)</f>
        <v>7</v>
      </c>
      <c r="R547" s="1">
        <f t="shared" si="53"/>
        <v>4</v>
      </c>
    </row>
    <row r="548" spans="1:18" x14ac:dyDescent="0.25">
      <c r="A548" s="1" t="s">
        <v>1131</v>
      </c>
      <c r="B548" t="s">
        <v>1132</v>
      </c>
      <c r="C548" t="s">
        <v>22</v>
      </c>
      <c r="D548" t="s">
        <v>23</v>
      </c>
      <c r="E548" s="4">
        <v>45153</v>
      </c>
      <c r="F548" s="4">
        <v>45158</v>
      </c>
      <c r="G548" s="1">
        <v>1</v>
      </c>
      <c r="H548" s="1">
        <v>10</v>
      </c>
      <c r="I548" t="s">
        <v>13</v>
      </c>
      <c r="J548" t="s">
        <v>2141</v>
      </c>
      <c r="K548" t="s">
        <v>14</v>
      </c>
      <c r="L548" s="1" t="str">
        <f t="shared" si="48"/>
        <v>2023</v>
      </c>
      <c r="M548" t="str">
        <f t="shared" si="49"/>
        <v>Aug</v>
      </c>
      <c r="N548" t="str">
        <f t="shared" si="50"/>
        <v>Tue</v>
      </c>
      <c r="O548" s="1">
        <f t="shared" si="51"/>
        <v>5</v>
      </c>
      <c r="P548" s="1">
        <f t="shared" si="52"/>
        <v>10</v>
      </c>
      <c r="Q548" s="1">
        <f>ROUND(G548*H548*VLOOKUP(D548,'Cost Product'!A$1:C$21,3,FALSE),0)</f>
        <v>7</v>
      </c>
      <c r="R548" s="1">
        <f t="shared" si="53"/>
        <v>3</v>
      </c>
    </row>
    <row r="549" spans="1:18" x14ac:dyDescent="0.25">
      <c r="A549" s="1" t="s">
        <v>1133</v>
      </c>
      <c r="B549" t="s">
        <v>1134</v>
      </c>
      <c r="C549" t="s">
        <v>65</v>
      </c>
      <c r="D549" t="s">
        <v>99</v>
      </c>
      <c r="E549" s="4">
        <v>45443</v>
      </c>
      <c r="F549" s="4">
        <v>45446</v>
      </c>
      <c r="G549" s="1">
        <v>1</v>
      </c>
      <c r="H549" s="1">
        <v>4</v>
      </c>
      <c r="I549" t="s">
        <v>13</v>
      </c>
      <c r="J549" t="s">
        <v>2141</v>
      </c>
      <c r="K549" t="s">
        <v>19</v>
      </c>
      <c r="L549" s="1" t="str">
        <f t="shared" si="48"/>
        <v>2024</v>
      </c>
      <c r="M549" t="str">
        <f t="shared" si="49"/>
        <v>May</v>
      </c>
      <c r="N549" t="str">
        <f t="shared" si="50"/>
        <v>Fri</v>
      </c>
      <c r="O549" s="1">
        <f t="shared" si="51"/>
        <v>3</v>
      </c>
      <c r="P549" s="1">
        <f t="shared" si="52"/>
        <v>4</v>
      </c>
      <c r="Q549" s="1">
        <f>ROUND(G549*H549*VLOOKUP(D549,'Cost Product'!A$1:C$21,3,FALSE),0)</f>
        <v>2</v>
      </c>
      <c r="R549" s="1">
        <f t="shared" si="53"/>
        <v>2</v>
      </c>
    </row>
    <row r="550" spans="1:18" x14ac:dyDescent="0.25">
      <c r="A550" s="1" t="s">
        <v>1135</v>
      </c>
      <c r="B550" t="s">
        <v>1136</v>
      </c>
      <c r="C550" t="s">
        <v>17</v>
      </c>
      <c r="D550" t="s">
        <v>53</v>
      </c>
      <c r="E550" s="4">
        <v>45120</v>
      </c>
      <c r="F550" s="4">
        <v>45124</v>
      </c>
      <c r="G550" s="1">
        <v>1</v>
      </c>
      <c r="H550" s="1">
        <v>4.75</v>
      </c>
      <c r="I550" t="s">
        <v>13</v>
      </c>
      <c r="J550" t="s">
        <v>2144</v>
      </c>
      <c r="K550" t="s">
        <v>28</v>
      </c>
      <c r="L550" s="1" t="str">
        <f t="shared" si="48"/>
        <v>2023</v>
      </c>
      <c r="M550" t="str">
        <f t="shared" si="49"/>
        <v>Jul</v>
      </c>
      <c r="N550" t="str">
        <f t="shared" si="50"/>
        <v>Thu</v>
      </c>
      <c r="O550" s="1">
        <f t="shared" si="51"/>
        <v>4</v>
      </c>
      <c r="P550" s="1">
        <f t="shared" si="52"/>
        <v>4.75</v>
      </c>
      <c r="Q550" s="1">
        <f>ROUND(G550*H550*VLOOKUP(D550,'Cost Product'!A$1:C$21,3,FALSE),0)</f>
        <v>3</v>
      </c>
      <c r="R550" s="1">
        <f t="shared" si="53"/>
        <v>1.75</v>
      </c>
    </row>
    <row r="551" spans="1:18" x14ac:dyDescent="0.25">
      <c r="A551" s="1" t="s">
        <v>1137</v>
      </c>
      <c r="B551" t="s">
        <v>1138</v>
      </c>
      <c r="C551" t="s">
        <v>65</v>
      </c>
      <c r="D551" t="s">
        <v>120</v>
      </c>
      <c r="E551" s="4">
        <v>45250</v>
      </c>
      <c r="F551" s="4">
        <v>45251</v>
      </c>
      <c r="G551" s="1">
        <v>3</v>
      </c>
      <c r="H551" s="1">
        <v>3.75</v>
      </c>
      <c r="I551" t="s">
        <v>13</v>
      </c>
      <c r="J551" t="s">
        <v>2141</v>
      </c>
      <c r="K551" t="s">
        <v>28</v>
      </c>
      <c r="L551" s="1" t="str">
        <f t="shared" si="48"/>
        <v>2023</v>
      </c>
      <c r="M551" t="str">
        <f t="shared" si="49"/>
        <v>Nov</v>
      </c>
      <c r="N551" t="str">
        <f t="shared" si="50"/>
        <v>Mon</v>
      </c>
      <c r="O551" s="1">
        <f t="shared" si="51"/>
        <v>1</v>
      </c>
      <c r="P551" s="1">
        <f t="shared" si="52"/>
        <v>11.25</v>
      </c>
      <c r="Q551" s="1">
        <f>ROUND(G551*H551*VLOOKUP(D551,'Cost Product'!A$1:C$21,3,FALSE),0)</f>
        <v>6</v>
      </c>
      <c r="R551" s="1">
        <f t="shared" si="53"/>
        <v>5.25</v>
      </c>
    </row>
    <row r="552" spans="1:18" x14ac:dyDescent="0.25">
      <c r="A552" s="1" t="s">
        <v>1139</v>
      </c>
      <c r="B552" t="s">
        <v>1140</v>
      </c>
      <c r="C552" t="s">
        <v>11</v>
      </c>
      <c r="D552" t="s">
        <v>39</v>
      </c>
      <c r="E552" s="4">
        <v>45496</v>
      </c>
      <c r="F552" s="4">
        <v>45498</v>
      </c>
      <c r="G552" s="1">
        <v>5</v>
      </c>
      <c r="H552" s="1">
        <v>5.75</v>
      </c>
      <c r="I552" t="s">
        <v>40</v>
      </c>
      <c r="J552" t="s">
        <v>2142</v>
      </c>
      <c r="K552" t="s">
        <v>19</v>
      </c>
      <c r="L552" s="1" t="str">
        <f t="shared" si="48"/>
        <v>2024</v>
      </c>
      <c r="M552" t="str">
        <f t="shared" si="49"/>
        <v>Jul</v>
      </c>
      <c r="N552" t="str">
        <f t="shared" si="50"/>
        <v>Tue</v>
      </c>
      <c r="O552" s="1">
        <f t="shared" si="51"/>
        <v>2</v>
      </c>
      <c r="P552" s="1">
        <f t="shared" si="52"/>
        <v>28.75</v>
      </c>
      <c r="Q552" s="1">
        <f>ROUND(G552*H552*VLOOKUP(D552,'Cost Product'!A$1:C$21,3,FALSE),0)</f>
        <v>14</v>
      </c>
      <c r="R552" s="1">
        <f t="shared" si="53"/>
        <v>14.75</v>
      </c>
    </row>
    <row r="553" spans="1:18" x14ac:dyDescent="0.25">
      <c r="A553" s="1" t="s">
        <v>1141</v>
      </c>
      <c r="B553" t="s">
        <v>1142</v>
      </c>
      <c r="C553" t="s">
        <v>22</v>
      </c>
      <c r="D553" t="s">
        <v>59</v>
      </c>
      <c r="E553" s="4">
        <v>45388</v>
      </c>
      <c r="F553" s="4">
        <v>45391</v>
      </c>
      <c r="G553" s="1">
        <v>2</v>
      </c>
      <c r="H553" s="1">
        <v>8.5</v>
      </c>
      <c r="I553" t="s">
        <v>40</v>
      </c>
      <c r="J553" t="s">
        <v>2145</v>
      </c>
      <c r="K553" t="s">
        <v>28</v>
      </c>
      <c r="L553" s="1" t="str">
        <f t="shared" si="48"/>
        <v>2024</v>
      </c>
      <c r="M553" t="str">
        <f t="shared" si="49"/>
        <v>Apr</v>
      </c>
      <c r="N553" t="str">
        <f t="shared" si="50"/>
        <v>Sat</v>
      </c>
      <c r="O553" s="1">
        <f t="shared" si="51"/>
        <v>3</v>
      </c>
      <c r="P553" s="1">
        <f t="shared" si="52"/>
        <v>17</v>
      </c>
      <c r="Q553" s="1">
        <f>ROUND(G553*H553*VLOOKUP(D553,'Cost Product'!A$1:C$21,3,FALSE),0)</f>
        <v>10</v>
      </c>
      <c r="R553" s="1">
        <f t="shared" si="53"/>
        <v>7</v>
      </c>
    </row>
    <row r="554" spans="1:18" x14ac:dyDescent="0.25">
      <c r="A554" s="1" t="s">
        <v>1143</v>
      </c>
      <c r="B554" t="s">
        <v>1144</v>
      </c>
      <c r="C554" t="s">
        <v>26</v>
      </c>
      <c r="D554" t="s">
        <v>104</v>
      </c>
      <c r="E554" s="4">
        <v>45192</v>
      </c>
      <c r="F554" s="4">
        <v>45193</v>
      </c>
      <c r="G554" s="1">
        <v>3</v>
      </c>
      <c r="H554" s="1">
        <v>4.5</v>
      </c>
      <c r="I554" t="s">
        <v>13</v>
      </c>
      <c r="J554" t="s">
        <v>2141</v>
      </c>
      <c r="K554" t="s">
        <v>28</v>
      </c>
      <c r="L554" s="1" t="str">
        <f t="shared" si="48"/>
        <v>2023</v>
      </c>
      <c r="M554" t="str">
        <f t="shared" si="49"/>
        <v>Sep</v>
      </c>
      <c r="N554" t="str">
        <f t="shared" si="50"/>
        <v>Sat</v>
      </c>
      <c r="O554" s="1">
        <f t="shared" si="51"/>
        <v>1</v>
      </c>
      <c r="P554" s="1">
        <f t="shared" si="52"/>
        <v>13.5</v>
      </c>
      <c r="Q554" s="1">
        <f>ROUND(G554*H554*VLOOKUP(D554,'Cost Product'!A$1:C$21,3,FALSE),0)</f>
        <v>7</v>
      </c>
      <c r="R554" s="1">
        <f t="shared" si="53"/>
        <v>6.5</v>
      </c>
    </row>
    <row r="555" spans="1:18" x14ac:dyDescent="0.25">
      <c r="A555" s="1" t="s">
        <v>1145</v>
      </c>
      <c r="B555" t="s">
        <v>1146</v>
      </c>
      <c r="C555" t="s">
        <v>65</v>
      </c>
      <c r="D555" t="s">
        <v>115</v>
      </c>
      <c r="E555" s="4">
        <v>45254</v>
      </c>
      <c r="F555" s="4">
        <v>45264</v>
      </c>
      <c r="G555" s="1">
        <v>5</v>
      </c>
      <c r="H555" s="1">
        <v>3</v>
      </c>
      <c r="I555" t="s">
        <v>13</v>
      </c>
      <c r="J555" t="s">
        <v>2144</v>
      </c>
      <c r="K555" t="s">
        <v>14</v>
      </c>
      <c r="L555" s="1" t="str">
        <f t="shared" si="48"/>
        <v>2023</v>
      </c>
      <c r="M555" t="str">
        <f t="shared" si="49"/>
        <v>Nov</v>
      </c>
      <c r="N555" t="str">
        <f t="shared" si="50"/>
        <v>Fri</v>
      </c>
      <c r="O555" s="1">
        <f t="shared" si="51"/>
        <v>10</v>
      </c>
      <c r="P555" s="1">
        <f t="shared" si="52"/>
        <v>15</v>
      </c>
      <c r="Q555" s="1">
        <f>ROUND(G555*H555*VLOOKUP(D555,'Cost Product'!A$1:C$21,3,FALSE),0)</f>
        <v>7</v>
      </c>
      <c r="R555" s="1">
        <f t="shared" si="53"/>
        <v>8</v>
      </c>
    </row>
    <row r="556" spans="1:18" x14ac:dyDescent="0.25">
      <c r="A556" s="1" t="s">
        <v>1147</v>
      </c>
      <c r="B556" t="s">
        <v>1148</v>
      </c>
      <c r="C556" t="s">
        <v>11</v>
      </c>
      <c r="D556" t="s">
        <v>36</v>
      </c>
      <c r="E556" s="4">
        <v>45198</v>
      </c>
      <c r="F556" s="4">
        <v>45201</v>
      </c>
      <c r="G556" s="1">
        <v>1</v>
      </c>
      <c r="H556" s="1">
        <v>6.25</v>
      </c>
      <c r="I556" t="s">
        <v>13</v>
      </c>
      <c r="J556" t="s">
        <v>2141</v>
      </c>
      <c r="K556" t="s">
        <v>19</v>
      </c>
      <c r="L556" s="1" t="str">
        <f t="shared" si="48"/>
        <v>2023</v>
      </c>
      <c r="M556" t="str">
        <f t="shared" si="49"/>
        <v>Sep</v>
      </c>
      <c r="N556" t="str">
        <f t="shared" si="50"/>
        <v>Fri</v>
      </c>
      <c r="O556" s="1">
        <f t="shared" si="51"/>
        <v>3</v>
      </c>
      <c r="P556" s="1">
        <f t="shared" si="52"/>
        <v>6.25</v>
      </c>
      <c r="Q556" s="1">
        <f>ROUND(G556*H556*VLOOKUP(D556,'Cost Product'!A$1:C$21,3,FALSE),0)</f>
        <v>3</v>
      </c>
      <c r="R556" s="1">
        <f t="shared" si="53"/>
        <v>3.25</v>
      </c>
    </row>
    <row r="557" spans="1:18" x14ac:dyDescent="0.25">
      <c r="A557" s="1" t="s">
        <v>1149</v>
      </c>
      <c r="B557" t="s">
        <v>1150</v>
      </c>
      <c r="C557" t="s">
        <v>11</v>
      </c>
      <c r="D557" t="s">
        <v>31</v>
      </c>
      <c r="E557" s="4">
        <v>45348</v>
      </c>
      <c r="F557" s="4">
        <v>45361</v>
      </c>
      <c r="G557" s="1">
        <v>3</v>
      </c>
      <c r="H557" s="1">
        <v>5.5</v>
      </c>
      <c r="I557" t="s">
        <v>40</v>
      </c>
      <c r="J557" t="s">
        <v>2142</v>
      </c>
      <c r="K557" t="s">
        <v>14</v>
      </c>
      <c r="L557" s="1" t="str">
        <f t="shared" si="48"/>
        <v>2024</v>
      </c>
      <c r="M557" t="str">
        <f t="shared" si="49"/>
        <v>Feb</v>
      </c>
      <c r="N557" t="str">
        <f t="shared" si="50"/>
        <v>Mon</v>
      </c>
      <c r="O557" s="1">
        <f t="shared" si="51"/>
        <v>13</v>
      </c>
      <c r="P557" s="1">
        <f t="shared" si="52"/>
        <v>16.5</v>
      </c>
      <c r="Q557" s="1">
        <f>ROUND(G557*H557*VLOOKUP(D557,'Cost Product'!A$1:C$21,3,FALSE),0)</f>
        <v>9</v>
      </c>
      <c r="R557" s="1">
        <f t="shared" si="53"/>
        <v>7.5</v>
      </c>
    </row>
    <row r="558" spans="1:18" x14ac:dyDescent="0.25">
      <c r="A558" s="1" t="s">
        <v>1151</v>
      </c>
      <c r="B558" t="s">
        <v>1152</v>
      </c>
      <c r="C558" t="s">
        <v>11</v>
      </c>
      <c r="D558" t="s">
        <v>31</v>
      </c>
      <c r="E558" s="4">
        <v>45372</v>
      </c>
      <c r="F558" s="4">
        <v>45378</v>
      </c>
      <c r="G558" s="1">
        <v>4</v>
      </c>
      <c r="H558" s="1">
        <v>5.5</v>
      </c>
      <c r="I558" t="s">
        <v>13</v>
      </c>
      <c r="J558" t="s">
        <v>2142</v>
      </c>
      <c r="K558" t="s">
        <v>19</v>
      </c>
      <c r="L558" s="1" t="str">
        <f t="shared" si="48"/>
        <v>2024</v>
      </c>
      <c r="M558" t="str">
        <f t="shared" si="49"/>
        <v>Mar</v>
      </c>
      <c r="N558" t="str">
        <f t="shared" si="50"/>
        <v>Thu</v>
      </c>
      <c r="O558" s="1">
        <f t="shared" si="51"/>
        <v>6</v>
      </c>
      <c r="P558" s="1">
        <f t="shared" si="52"/>
        <v>22</v>
      </c>
      <c r="Q558" s="1">
        <f>ROUND(G558*H558*VLOOKUP(D558,'Cost Product'!A$1:C$21,3,FALSE),0)</f>
        <v>11</v>
      </c>
      <c r="R558" s="1">
        <f t="shared" si="53"/>
        <v>11</v>
      </c>
    </row>
    <row r="559" spans="1:18" x14ac:dyDescent="0.25">
      <c r="A559" s="1" t="s">
        <v>1153</v>
      </c>
      <c r="B559" t="s">
        <v>1154</v>
      </c>
      <c r="C559" t="s">
        <v>17</v>
      </c>
      <c r="D559" t="s">
        <v>53</v>
      </c>
      <c r="E559" s="4">
        <v>45262</v>
      </c>
      <c r="F559" s="4">
        <v>45265</v>
      </c>
      <c r="G559" s="1">
        <v>3</v>
      </c>
      <c r="H559" s="1">
        <v>4.75</v>
      </c>
      <c r="I559" t="s">
        <v>13</v>
      </c>
      <c r="J559" t="s">
        <v>2142</v>
      </c>
      <c r="K559" t="s">
        <v>28</v>
      </c>
      <c r="L559" s="1" t="str">
        <f t="shared" si="48"/>
        <v>2023</v>
      </c>
      <c r="M559" t="str">
        <f t="shared" si="49"/>
        <v>Dec</v>
      </c>
      <c r="N559" t="str">
        <f t="shared" si="50"/>
        <v>Sat</v>
      </c>
      <c r="O559" s="1">
        <f t="shared" si="51"/>
        <v>3</v>
      </c>
      <c r="P559" s="1">
        <f t="shared" si="52"/>
        <v>14.25</v>
      </c>
      <c r="Q559" s="1">
        <f>ROUND(G559*H559*VLOOKUP(D559,'Cost Product'!A$1:C$21,3,FALSE),0)</f>
        <v>8</v>
      </c>
      <c r="R559" s="1">
        <f t="shared" si="53"/>
        <v>6.25</v>
      </c>
    </row>
    <row r="560" spans="1:18" x14ac:dyDescent="0.25">
      <c r="A560" s="1" t="s">
        <v>1155</v>
      </c>
      <c r="B560" t="s">
        <v>1156</v>
      </c>
      <c r="C560" t="s">
        <v>26</v>
      </c>
      <c r="D560" t="s">
        <v>82</v>
      </c>
      <c r="E560" s="4">
        <v>45580</v>
      </c>
      <c r="F560" s="4">
        <v>45587</v>
      </c>
      <c r="G560" s="1">
        <v>5</v>
      </c>
      <c r="H560" s="1">
        <v>4.25</v>
      </c>
      <c r="I560" t="s">
        <v>13</v>
      </c>
      <c r="J560" t="s">
        <v>2144</v>
      </c>
      <c r="K560" t="s">
        <v>28</v>
      </c>
      <c r="L560" s="1" t="str">
        <f t="shared" si="48"/>
        <v>2024</v>
      </c>
      <c r="M560" t="str">
        <f t="shared" si="49"/>
        <v>Oct</v>
      </c>
      <c r="N560" t="str">
        <f t="shared" si="50"/>
        <v>Tue</v>
      </c>
      <c r="O560" s="1">
        <f t="shared" si="51"/>
        <v>7</v>
      </c>
      <c r="P560" s="1">
        <f t="shared" si="52"/>
        <v>21.25</v>
      </c>
      <c r="Q560" s="1">
        <f>ROUND(G560*H560*VLOOKUP(D560,'Cost Product'!A$1:C$21,3,FALSE),0)</f>
        <v>10</v>
      </c>
      <c r="R560" s="1">
        <f t="shared" si="53"/>
        <v>11.25</v>
      </c>
    </row>
    <row r="561" spans="1:18" x14ac:dyDescent="0.25">
      <c r="A561" s="1" t="s">
        <v>1157</v>
      </c>
      <c r="B561" t="s">
        <v>1158</v>
      </c>
      <c r="C561" t="s">
        <v>17</v>
      </c>
      <c r="D561" t="s">
        <v>79</v>
      </c>
      <c r="E561" s="4">
        <v>45138</v>
      </c>
      <c r="F561" s="4">
        <v>45139</v>
      </c>
      <c r="G561" s="1">
        <v>2</v>
      </c>
      <c r="H561" s="1">
        <v>5</v>
      </c>
      <c r="I561" t="s">
        <v>13</v>
      </c>
      <c r="J561" t="s">
        <v>2143</v>
      </c>
      <c r="K561" t="s">
        <v>19</v>
      </c>
      <c r="L561" s="1" t="str">
        <f t="shared" si="48"/>
        <v>2023</v>
      </c>
      <c r="M561" t="str">
        <f t="shared" si="49"/>
        <v>Jul</v>
      </c>
      <c r="N561" t="str">
        <f t="shared" si="50"/>
        <v>Mon</v>
      </c>
      <c r="O561" s="1">
        <f t="shared" si="51"/>
        <v>1</v>
      </c>
      <c r="P561" s="1">
        <f t="shared" si="52"/>
        <v>10</v>
      </c>
      <c r="Q561" s="1">
        <f>ROUND(G561*H561*VLOOKUP(D561,'Cost Product'!A$1:C$21,3,FALSE),0)</f>
        <v>6</v>
      </c>
      <c r="R561" s="1">
        <f t="shared" si="53"/>
        <v>4</v>
      </c>
    </row>
    <row r="562" spans="1:18" x14ac:dyDescent="0.25">
      <c r="A562" s="1" t="s">
        <v>1159</v>
      </c>
      <c r="B562" t="s">
        <v>1160</v>
      </c>
      <c r="C562" t="s">
        <v>26</v>
      </c>
      <c r="D562" t="s">
        <v>82</v>
      </c>
      <c r="E562" s="4">
        <v>45516</v>
      </c>
      <c r="F562" s="4">
        <v>45519</v>
      </c>
      <c r="G562" s="1">
        <v>5</v>
      </c>
      <c r="H562" s="1">
        <v>4.25</v>
      </c>
      <c r="I562" t="s">
        <v>13</v>
      </c>
      <c r="J562" t="s">
        <v>2142</v>
      </c>
      <c r="K562" t="s">
        <v>19</v>
      </c>
      <c r="L562" s="1" t="str">
        <f t="shared" si="48"/>
        <v>2024</v>
      </c>
      <c r="M562" t="str">
        <f t="shared" si="49"/>
        <v>Aug</v>
      </c>
      <c r="N562" t="str">
        <f t="shared" si="50"/>
        <v>Mon</v>
      </c>
      <c r="O562" s="1">
        <f t="shared" si="51"/>
        <v>3</v>
      </c>
      <c r="P562" s="1">
        <f t="shared" si="52"/>
        <v>21.25</v>
      </c>
      <c r="Q562" s="1">
        <f>ROUND(G562*H562*VLOOKUP(D562,'Cost Product'!A$1:C$21,3,FALSE),0)</f>
        <v>10</v>
      </c>
      <c r="R562" s="1">
        <f t="shared" si="53"/>
        <v>11.25</v>
      </c>
    </row>
    <row r="563" spans="1:18" x14ac:dyDescent="0.25">
      <c r="A563" s="1" t="s">
        <v>1161</v>
      </c>
      <c r="B563" t="s">
        <v>1162</v>
      </c>
      <c r="C563" t="s">
        <v>22</v>
      </c>
      <c r="D563" t="s">
        <v>62</v>
      </c>
      <c r="E563" s="4">
        <v>45268</v>
      </c>
      <c r="F563" s="4">
        <v>45275</v>
      </c>
      <c r="G563" s="1">
        <v>5</v>
      </c>
      <c r="H563" s="1">
        <v>8</v>
      </c>
      <c r="I563" t="s">
        <v>13</v>
      </c>
      <c r="J563" t="s">
        <v>2141</v>
      </c>
      <c r="K563" t="s">
        <v>19</v>
      </c>
      <c r="L563" s="1" t="str">
        <f t="shared" si="48"/>
        <v>2023</v>
      </c>
      <c r="M563" t="str">
        <f t="shared" si="49"/>
        <v>Dec</v>
      </c>
      <c r="N563" t="str">
        <f t="shared" si="50"/>
        <v>Fri</v>
      </c>
      <c r="O563" s="1">
        <f t="shared" si="51"/>
        <v>7</v>
      </c>
      <c r="P563" s="1">
        <f t="shared" si="52"/>
        <v>40</v>
      </c>
      <c r="Q563" s="1">
        <f>ROUND(G563*H563*VLOOKUP(D563,'Cost Product'!A$1:C$21,3,FALSE),0)</f>
        <v>23</v>
      </c>
      <c r="R563" s="1">
        <f t="shared" si="53"/>
        <v>17</v>
      </c>
    </row>
    <row r="564" spans="1:18" x14ac:dyDescent="0.25">
      <c r="A564" s="1" t="s">
        <v>1163</v>
      </c>
      <c r="B564" t="s">
        <v>1164</v>
      </c>
      <c r="C564" t="s">
        <v>11</v>
      </c>
      <c r="D564" t="s">
        <v>39</v>
      </c>
      <c r="E564" s="4">
        <v>45485</v>
      </c>
      <c r="F564" s="4">
        <v>45490</v>
      </c>
      <c r="G564" s="1">
        <v>5</v>
      </c>
      <c r="H564" s="1">
        <v>5.75</v>
      </c>
      <c r="I564" t="s">
        <v>13</v>
      </c>
      <c r="J564" t="s">
        <v>2141</v>
      </c>
      <c r="K564" t="s">
        <v>14</v>
      </c>
      <c r="L564" s="1" t="str">
        <f t="shared" si="48"/>
        <v>2024</v>
      </c>
      <c r="M564" t="str">
        <f t="shared" si="49"/>
        <v>Jul</v>
      </c>
      <c r="N564" t="str">
        <f t="shared" si="50"/>
        <v>Fri</v>
      </c>
      <c r="O564" s="1">
        <f t="shared" si="51"/>
        <v>5</v>
      </c>
      <c r="P564" s="1">
        <f t="shared" si="52"/>
        <v>28.75</v>
      </c>
      <c r="Q564" s="1">
        <f>ROUND(G564*H564*VLOOKUP(D564,'Cost Product'!A$1:C$21,3,FALSE),0)</f>
        <v>14</v>
      </c>
      <c r="R564" s="1">
        <f t="shared" si="53"/>
        <v>14.75</v>
      </c>
    </row>
    <row r="565" spans="1:18" x14ac:dyDescent="0.25">
      <c r="A565" s="1" t="s">
        <v>1165</v>
      </c>
      <c r="B565" t="s">
        <v>1166</v>
      </c>
      <c r="C565" t="s">
        <v>65</v>
      </c>
      <c r="D565" t="s">
        <v>115</v>
      </c>
      <c r="E565" s="4">
        <v>45372</v>
      </c>
      <c r="F565" s="4">
        <v>45376</v>
      </c>
      <c r="G565" s="1">
        <v>4</v>
      </c>
      <c r="H565" s="1">
        <v>3</v>
      </c>
      <c r="I565" t="s">
        <v>13</v>
      </c>
      <c r="J565" t="s">
        <v>2141</v>
      </c>
      <c r="K565" t="s">
        <v>19</v>
      </c>
      <c r="L565" s="1" t="str">
        <f t="shared" si="48"/>
        <v>2024</v>
      </c>
      <c r="M565" t="str">
        <f t="shared" si="49"/>
        <v>Mar</v>
      </c>
      <c r="N565" t="str">
        <f t="shared" si="50"/>
        <v>Thu</v>
      </c>
      <c r="O565" s="1">
        <f t="shared" si="51"/>
        <v>4</v>
      </c>
      <c r="P565" s="1">
        <f t="shared" si="52"/>
        <v>12</v>
      </c>
      <c r="Q565" s="1">
        <f>ROUND(G565*H565*VLOOKUP(D565,'Cost Product'!A$1:C$21,3,FALSE),0)</f>
        <v>6</v>
      </c>
      <c r="R565" s="1">
        <f t="shared" si="53"/>
        <v>6</v>
      </c>
    </row>
    <row r="566" spans="1:18" x14ac:dyDescent="0.25">
      <c r="A566" s="1" t="s">
        <v>1167</v>
      </c>
      <c r="B566" t="s">
        <v>1168</v>
      </c>
      <c r="C566" t="s">
        <v>17</v>
      </c>
      <c r="D566" t="s">
        <v>53</v>
      </c>
      <c r="E566" s="4">
        <v>45565</v>
      </c>
      <c r="F566" s="4">
        <v>45566</v>
      </c>
      <c r="G566" s="1">
        <v>1</v>
      </c>
      <c r="H566" s="1">
        <v>4.75</v>
      </c>
      <c r="I566" t="s">
        <v>13</v>
      </c>
      <c r="J566" t="s">
        <v>2141</v>
      </c>
      <c r="K566" t="s">
        <v>19</v>
      </c>
      <c r="L566" s="1" t="str">
        <f t="shared" si="48"/>
        <v>2024</v>
      </c>
      <c r="M566" t="str">
        <f t="shared" si="49"/>
        <v>Sep</v>
      </c>
      <c r="N566" t="str">
        <f t="shared" si="50"/>
        <v>Mon</v>
      </c>
      <c r="O566" s="1">
        <f t="shared" si="51"/>
        <v>1</v>
      </c>
      <c r="P566" s="1">
        <f t="shared" si="52"/>
        <v>4.75</v>
      </c>
      <c r="Q566" s="1">
        <f>ROUND(G566*H566*VLOOKUP(D566,'Cost Product'!A$1:C$21,3,FALSE),0)</f>
        <v>3</v>
      </c>
      <c r="R566" s="1">
        <f t="shared" si="53"/>
        <v>1.75</v>
      </c>
    </row>
    <row r="567" spans="1:18" x14ac:dyDescent="0.25">
      <c r="A567" s="1" t="s">
        <v>1169</v>
      </c>
      <c r="B567" t="s">
        <v>1170</v>
      </c>
      <c r="C567" t="s">
        <v>22</v>
      </c>
      <c r="D567" t="s">
        <v>59</v>
      </c>
      <c r="E567" s="4">
        <v>45512</v>
      </c>
      <c r="F567" s="4">
        <v>45514</v>
      </c>
      <c r="G567" s="1">
        <v>5</v>
      </c>
      <c r="H567" s="1">
        <v>8.5</v>
      </c>
      <c r="I567" t="s">
        <v>13</v>
      </c>
      <c r="J567" t="s">
        <v>2142</v>
      </c>
      <c r="K567" t="s">
        <v>14</v>
      </c>
      <c r="L567" s="1" t="str">
        <f t="shared" si="48"/>
        <v>2024</v>
      </c>
      <c r="M567" t="str">
        <f t="shared" si="49"/>
        <v>Aug</v>
      </c>
      <c r="N567" t="str">
        <f t="shared" si="50"/>
        <v>Thu</v>
      </c>
      <c r="O567" s="1">
        <f t="shared" si="51"/>
        <v>2</v>
      </c>
      <c r="P567" s="1">
        <f t="shared" si="52"/>
        <v>42.5</v>
      </c>
      <c r="Q567" s="1">
        <f>ROUND(G567*H567*VLOOKUP(D567,'Cost Product'!A$1:C$21,3,FALSE),0)</f>
        <v>26</v>
      </c>
      <c r="R567" s="1">
        <f t="shared" si="53"/>
        <v>16.5</v>
      </c>
    </row>
    <row r="568" spans="1:18" x14ac:dyDescent="0.25">
      <c r="A568" s="1" t="s">
        <v>1171</v>
      </c>
      <c r="B568" t="s">
        <v>1172</v>
      </c>
      <c r="C568" t="s">
        <v>17</v>
      </c>
      <c r="D568" t="s">
        <v>50</v>
      </c>
      <c r="E568" s="4">
        <v>45493</v>
      </c>
      <c r="F568" s="4">
        <v>45500</v>
      </c>
      <c r="G568" s="1">
        <v>3</v>
      </c>
      <c r="H568" s="1">
        <v>5.25</v>
      </c>
      <c r="I568" t="s">
        <v>13</v>
      </c>
      <c r="J568" t="s">
        <v>2141</v>
      </c>
      <c r="K568" t="s">
        <v>28</v>
      </c>
      <c r="L568" s="1" t="str">
        <f t="shared" si="48"/>
        <v>2024</v>
      </c>
      <c r="M568" t="str">
        <f t="shared" si="49"/>
        <v>Jul</v>
      </c>
      <c r="N568" t="str">
        <f t="shared" si="50"/>
        <v>Sat</v>
      </c>
      <c r="O568" s="1">
        <f t="shared" si="51"/>
        <v>7</v>
      </c>
      <c r="P568" s="1">
        <f t="shared" si="52"/>
        <v>15.75</v>
      </c>
      <c r="Q568" s="1">
        <f>ROUND(G568*H568*VLOOKUP(D568,'Cost Product'!A$1:C$21,3,FALSE),0)</f>
        <v>9</v>
      </c>
      <c r="R568" s="1">
        <f t="shared" si="53"/>
        <v>6.75</v>
      </c>
    </row>
    <row r="569" spans="1:18" x14ac:dyDescent="0.25">
      <c r="A569" s="1" t="s">
        <v>1173</v>
      </c>
      <c r="B569" t="s">
        <v>1174</v>
      </c>
      <c r="C569" t="s">
        <v>11</v>
      </c>
      <c r="D569" t="s">
        <v>12</v>
      </c>
      <c r="E569" s="4">
        <v>45338</v>
      </c>
      <c r="F569" s="4">
        <v>45340</v>
      </c>
      <c r="G569" s="1">
        <v>4</v>
      </c>
      <c r="H569" s="1">
        <v>6.5</v>
      </c>
      <c r="I569" t="s">
        <v>13</v>
      </c>
      <c r="J569" t="s">
        <v>2141</v>
      </c>
      <c r="K569" t="s">
        <v>19</v>
      </c>
      <c r="L569" s="1" t="str">
        <f t="shared" si="48"/>
        <v>2024</v>
      </c>
      <c r="M569" t="str">
        <f t="shared" si="49"/>
        <v>Feb</v>
      </c>
      <c r="N569" t="str">
        <f t="shared" si="50"/>
        <v>Fri</v>
      </c>
      <c r="O569" s="1">
        <f t="shared" si="51"/>
        <v>2</v>
      </c>
      <c r="P569" s="1">
        <f t="shared" si="52"/>
        <v>26</v>
      </c>
      <c r="Q569" s="1">
        <f>ROUND(G569*H569*VLOOKUP(D569,'Cost Product'!A$1:C$21,3,FALSE),0)</f>
        <v>15</v>
      </c>
      <c r="R569" s="1">
        <f t="shared" si="53"/>
        <v>11</v>
      </c>
    </row>
    <row r="570" spans="1:18" x14ac:dyDescent="0.25">
      <c r="A570" s="1" t="s">
        <v>1175</v>
      </c>
      <c r="B570" t="s">
        <v>1176</v>
      </c>
      <c r="C570" t="s">
        <v>65</v>
      </c>
      <c r="D570" t="s">
        <v>120</v>
      </c>
      <c r="E570" s="4">
        <v>45252</v>
      </c>
      <c r="F570" s="4">
        <v>45258</v>
      </c>
      <c r="G570" s="1">
        <v>2</v>
      </c>
      <c r="H570" s="1">
        <v>3.75</v>
      </c>
      <c r="I570" t="s">
        <v>40</v>
      </c>
      <c r="J570" t="s">
        <v>2141</v>
      </c>
      <c r="K570" t="s">
        <v>28</v>
      </c>
      <c r="L570" s="1" t="str">
        <f t="shared" si="48"/>
        <v>2023</v>
      </c>
      <c r="M570" t="str">
        <f t="shared" si="49"/>
        <v>Nov</v>
      </c>
      <c r="N570" t="str">
        <f t="shared" si="50"/>
        <v>Wed</v>
      </c>
      <c r="O570" s="1">
        <f t="shared" si="51"/>
        <v>6</v>
      </c>
      <c r="P570" s="1">
        <f t="shared" si="52"/>
        <v>7.5</v>
      </c>
      <c r="Q570" s="1">
        <f>ROUND(G570*H570*VLOOKUP(D570,'Cost Product'!A$1:C$21,3,FALSE),0)</f>
        <v>4</v>
      </c>
      <c r="R570" s="1">
        <f t="shared" si="53"/>
        <v>3.5</v>
      </c>
    </row>
    <row r="571" spans="1:18" x14ac:dyDescent="0.25">
      <c r="A571" s="1" t="s">
        <v>1177</v>
      </c>
      <c r="B571" t="s">
        <v>1178</v>
      </c>
      <c r="C571" t="s">
        <v>26</v>
      </c>
      <c r="D571" t="s">
        <v>104</v>
      </c>
      <c r="E571" s="4">
        <v>45573</v>
      </c>
      <c r="F571" s="4">
        <v>45575</v>
      </c>
      <c r="G571" s="1">
        <v>1</v>
      </c>
      <c r="H571" s="1">
        <v>4.5</v>
      </c>
      <c r="I571" t="s">
        <v>13</v>
      </c>
      <c r="J571" t="s">
        <v>2141</v>
      </c>
      <c r="K571" t="s">
        <v>28</v>
      </c>
      <c r="L571" s="1" t="str">
        <f t="shared" si="48"/>
        <v>2024</v>
      </c>
      <c r="M571" t="str">
        <f t="shared" si="49"/>
        <v>Oct</v>
      </c>
      <c r="N571" t="str">
        <f t="shared" si="50"/>
        <v>Tue</v>
      </c>
      <c r="O571" s="1">
        <f t="shared" si="51"/>
        <v>2</v>
      </c>
      <c r="P571" s="1">
        <f t="shared" si="52"/>
        <v>4.5</v>
      </c>
      <c r="Q571" s="1">
        <f>ROUND(G571*H571*VLOOKUP(D571,'Cost Product'!A$1:C$21,3,FALSE),0)</f>
        <v>2</v>
      </c>
      <c r="R571" s="1">
        <f t="shared" si="53"/>
        <v>2.5</v>
      </c>
    </row>
    <row r="572" spans="1:18" x14ac:dyDescent="0.25">
      <c r="A572" s="1" t="s">
        <v>1179</v>
      </c>
      <c r="B572" t="s">
        <v>1180</v>
      </c>
      <c r="C572" t="s">
        <v>11</v>
      </c>
      <c r="D572" t="s">
        <v>31</v>
      </c>
      <c r="E572" s="4">
        <v>45270</v>
      </c>
      <c r="F572" s="4">
        <v>45273</v>
      </c>
      <c r="G572" s="1">
        <v>4</v>
      </c>
      <c r="H572" s="1">
        <v>5.5</v>
      </c>
      <c r="I572" t="s">
        <v>40</v>
      </c>
      <c r="J572" t="s">
        <v>2142</v>
      </c>
      <c r="K572" t="s">
        <v>14</v>
      </c>
      <c r="L572" s="1" t="str">
        <f t="shared" si="48"/>
        <v>2023</v>
      </c>
      <c r="M572" t="str">
        <f t="shared" si="49"/>
        <v>Dec</v>
      </c>
      <c r="N572" t="str">
        <f t="shared" si="50"/>
        <v>Sun</v>
      </c>
      <c r="O572" s="1">
        <f t="shared" si="51"/>
        <v>3</v>
      </c>
      <c r="P572" s="1">
        <f t="shared" si="52"/>
        <v>22</v>
      </c>
      <c r="Q572" s="1">
        <f>ROUND(G572*H572*VLOOKUP(D572,'Cost Product'!A$1:C$21,3,FALSE),0)</f>
        <v>11</v>
      </c>
      <c r="R572" s="1">
        <f t="shared" si="53"/>
        <v>11</v>
      </c>
    </row>
    <row r="573" spans="1:18" x14ac:dyDescent="0.25">
      <c r="A573" s="1" t="s">
        <v>1181</v>
      </c>
      <c r="B573" t="s">
        <v>1182</v>
      </c>
      <c r="C573" t="s">
        <v>65</v>
      </c>
      <c r="D573" t="s">
        <v>99</v>
      </c>
      <c r="E573" s="4">
        <v>45546</v>
      </c>
      <c r="F573" s="4">
        <v>45552</v>
      </c>
      <c r="G573" s="1">
        <v>4</v>
      </c>
      <c r="H573" s="1">
        <v>4</v>
      </c>
      <c r="I573" t="s">
        <v>40</v>
      </c>
      <c r="J573" t="s">
        <v>2144</v>
      </c>
      <c r="K573" t="s">
        <v>19</v>
      </c>
      <c r="L573" s="1" t="str">
        <f t="shared" si="48"/>
        <v>2024</v>
      </c>
      <c r="M573" t="str">
        <f t="shared" si="49"/>
        <v>Sep</v>
      </c>
      <c r="N573" t="str">
        <f t="shared" si="50"/>
        <v>Wed</v>
      </c>
      <c r="O573" s="1">
        <f t="shared" si="51"/>
        <v>6</v>
      </c>
      <c r="P573" s="1">
        <f t="shared" si="52"/>
        <v>16</v>
      </c>
      <c r="Q573" s="1">
        <f>ROUND(G573*H573*VLOOKUP(D573,'Cost Product'!A$1:C$21,3,FALSE),0)</f>
        <v>8</v>
      </c>
      <c r="R573" s="1">
        <f t="shared" si="53"/>
        <v>8</v>
      </c>
    </row>
    <row r="574" spans="1:18" x14ac:dyDescent="0.25">
      <c r="A574" s="1" t="s">
        <v>1183</v>
      </c>
      <c r="B574" t="s">
        <v>1184</v>
      </c>
      <c r="C574" t="s">
        <v>26</v>
      </c>
      <c r="D574" t="s">
        <v>45</v>
      </c>
      <c r="E574" s="4">
        <v>45509</v>
      </c>
      <c r="F574" s="4">
        <v>45513</v>
      </c>
      <c r="G574" s="1">
        <v>5</v>
      </c>
      <c r="H574" s="1">
        <v>4.5</v>
      </c>
      <c r="I574" t="s">
        <v>13</v>
      </c>
      <c r="J574" t="s">
        <v>2142</v>
      </c>
      <c r="K574" t="s">
        <v>14</v>
      </c>
      <c r="L574" s="1" t="str">
        <f t="shared" si="48"/>
        <v>2024</v>
      </c>
      <c r="M574" t="str">
        <f t="shared" si="49"/>
        <v>Aug</v>
      </c>
      <c r="N574" t="str">
        <f t="shared" si="50"/>
        <v>Mon</v>
      </c>
      <c r="O574" s="1">
        <f t="shared" si="51"/>
        <v>4</v>
      </c>
      <c r="P574" s="1">
        <f t="shared" si="52"/>
        <v>22.5</v>
      </c>
      <c r="Q574" s="1">
        <f>ROUND(G574*H574*VLOOKUP(D574,'Cost Product'!A$1:C$21,3,FALSE),0)</f>
        <v>12</v>
      </c>
      <c r="R574" s="1">
        <f t="shared" si="53"/>
        <v>10.5</v>
      </c>
    </row>
    <row r="575" spans="1:18" x14ac:dyDescent="0.25">
      <c r="A575" s="1" t="s">
        <v>1185</v>
      </c>
      <c r="B575" t="s">
        <v>1186</v>
      </c>
      <c r="C575" t="s">
        <v>26</v>
      </c>
      <c r="D575" t="s">
        <v>104</v>
      </c>
      <c r="E575" s="4">
        <v>45523</v>
      </c>
      <c r="F575" s="4">
        <v>45524</v>
      </c>
      <c r="G575" s="1">
        <v>2</v>
      </c>
      <c r="H575" s="1">
        <v>4.5</v>
      </c>
      <c r="I575" t="s">
        <v>40</v>
      </c>
      <c r="J575" t="s">
        <v>2144</v>
      </c>
      <c r="K575" t="s">
        <v>19</v>
      </c>
      <c r="L575" s="1" t="str">
        <f t="shared" si="48"/>
        <v>2024</v>
      </c>
      <c r="M575" t="str">
        <f t="shared" si="49"/>
        <v>Aug</v>
      </c>
      <c r="N575" t="str">
        <f t="shared" si="50"/>
        <v>Mon</v>
      </c>
      <c r="O575" s="1">
        <f t="shared" si="51"/>
        <v>1</v>
      </c>
      <c r="P575" s="1">
        <f t="shared" si="52"/>
        <v>9</v>
      </c>
      <c r="Q575" s="1">
        <f>ROUND(G575*H575*VLOOKUP(D575,'Cost Product'!A$1:C$21,3,FALSE),0)</f>
        <v>5</v>
      </c>
      <c r="R575" s="1">
        <f t="shared" si="53"/>
        <v>4</v>
      </c>
    </row>
    <row r="576" spans="1:18" x14ac:dyDescent="0.25">
      <c r="A576" s="1" t="s">
        <v>1187</v>
      </c>
      <c r="B576" t="s">
        <v>1188</v>
      </c>
      <c r="C576" t="s">
        <v>26</v>
      </c>
      <c r="D576" t="s">
        <v>104</v>
      </c>
      <c r="E576" s="4">
        <v>45587</v>
      </c>
      <c r="F576" s="4">
        <v>45591</v>
      </c>
      <c r="G576" s="1">
        <v>1</v>
      </c>
      <c r="H576" s="1">
        <v>4.5</v>
      </c>
      <c r="I576" t="s">
        <v>13</v>
      </c>
      <c r="J576" t="s">
        <v>2143</v>
      </c>
      <c r="K576" t="s">
        <v>19</v>
      </c>
      <c r="L576" s="1" t="str">
        <f t="shared" si="48"/>
        <v>2024</v>
      </c>
      <c r="M576" t="str">
        <f t="shared" si="49"/>
        <v>Oct</v>
      </c>
      <c r="N576" t="str">
        <f t="shared" si="50"/>
        <v>Tue</v>
      </c>
      <c r="O576" s="1">
        <f t="shared" si="51"/>
        <v>4</v>
      </c>
      <c r="P576" s="1">
        <f t="shared" si="52"/>
        <v>4.5</v>
      </c>
      <c r="Q576" s="1">
        <f>ROUND(G576*H576*VLOOKUP(D576,'Cost Product'!A$1:C$21,3,FALSE),0)</f>
        <v>2</v>
      </c>
      <c r="R576" s="1">
        <f t="shared" si="53"/>
        <v>2.5</v>
      </c>
    </row>
    <row r="577" spans="1:18" x14ac:dyDescent="0.25">
      <c r="A577" s="1" t="s">
        <v>1189</v>
      </c>
      <c r="B577" t="s">
        <v>1190</v>
      </c>
      <c r="C577" t="s">
        <v>22</v>
      </c>
      <c r="D577" t="s">
        <v>59</v>
      </c>
      <c r="E577" s="4">
        <v>45430</v>
      </c>
      <c r="F577" s="4">
        <v>45432</v>
      </c>
      <c r="G577" s="1">
        <v>3</v>
      </c>
      <c r="H577" s="1">
        <v>8.5</v>
      </c>
      <c r="I577" t="s">
        <v>13</v>
      </c>
      <c r="J577" t="s">
        <v>2145</v>
      </c>
      <c r="K577" t="s">
        <v>28</v>
      </c>
      <c r="L577" s="1" t="str">
        <f t="shared" si="48"/>
        <v>2024</v>
      </c>
      <c r="M577" t="str">
        <f t="shared" si="49"/>
        <v>May</v>
      </c>
      <c r="N577" t="str">
        <f t="shared" si="50"/>
        <v>Sat</v>
      </c>
      <c r="O577" s="1">
        <f t="shared" si="51"/>
        <v>2</v>
      </c>
      <c r="P577" s="1">
        <f t="shared" si="52"/>
        <v>25.5</v>
      </c>
      <c r="Q577" s="1">
        <f>ROUND(G577*H577*VLOOKUP(D577,'Cost Product'!A$1:C$21,3,FALSE),0)</f>
        <v>15</v>
      </c>
      <c r="R577" s="1">
        <f t="shared" si="53"/>
        <v>10.5</v>
      </c>
    </row>
    <row r="578" spans="1:18" x14ac:dyDescent="0.25">
      <c r="A578" s="1" t="s">
        <v>1191</v>
      </c>
      <c r="B578" t="s">
        <v>1192</v>
      </c>
      <c r="C578" t="s">
        <v>17</v>
      </c>
      <c r="D578" t="s">
        <v>53</v>
      </c>
      <c r="E578" s="4">
        <v>45135</v>
      </c>
      <c r="F578" s="4">
        <v>45138</v>
      </c>
      <c r="G578" s="1">
        <v>1</v>
      </c>
      <c r="H578" s="1">
        <v>4.75</v>
      </c>
      <c r="I578" t="s">
        <v>13</v>
      </c>
      <c r="J578" t="s">
        <v>2141</v>
      </c>
      <c r="K578" t="s">
        <v>28</v>
      </c>
      <c r="L578" s="1" t="str">
        <f t="shared" si="48"/>
        <v>2023</v>
      </c>
      <c r="M578" t="str">
        <f t="shared" si="49"/>
        <v>Jul</v>
      </c>
      <c r="N578" t="str">
        <f t="shared" si="50"/>
        <v>Fri</v>
      </c>
      <c r="O578" s="1">
        <f t="shared" si="51"/>
        <v>3</v>
      </c>
      <c r="P578" s="1">
        <f t="shared" si="52"/>
        <v>4.75</v>
      </c>
      <c r="Q578" s="1">
        <f>ROUND(G578*H578*VLOOKUP(D578,'Cost Product'!A$1:C$21,3,FALSE),0)</f>
        <v>3</v>
      </c>
      <c r="R578" s="1">
        <f t="shared" si="53"/>
        <v>1.75</v>
      </c>
    </row>
    <row r="579" spans="1:18" x14ac:dyDescent="0.25">
      <c r="A579" s="1" t="s">
        <v>1193</v>
      </c>
      <c r="B579" t="s">
        <v>1194</v>
      </c>
      <c r="C579" t="s">
        <v>17</v>
      </c>
      <c r="D579" t="s">
        <v>79</v>
      </c>
      <c r="E579" s="4">
        <v>45525</v>
      </c>
      <c r="F579" s="4">
        <v>45527</v>
      </c>
      <c r="G579" s="1">
        <v>5</v>
      </c>
      <c r="H579" s="1">
        <v>5</v>
      </c>
      <c r="I579" t="s">
        <v>13</v>
      </c>
      <c r="J579" t="s">
        <v>2144</v>
      </c>
      <c r="K579" t="s">
        <v>14</v>
      </c>
      <c r="L579" s="1" t="str">
        <f t="shared" ref="L579:L642" si="54">TEXT(E579, "YYYY")</f>
        <v>2024</v>
      </c>
      <c r="M579" t="str">
        <f t="shared" ref="M579:M642" si="55">TEXT(E579, "MMM")</f>
        <v>Aug</v>
      </c>
      <c r="N579" t="str">
        <f t="shared" ref="N579:N642" si="56">TEXT(E579, "DDD")</f>
        <v>Wed</v>
      </c>
      <c r="O579" s="1">
        <f t="shared" ref="O579:O642" si="57">DATEDIF(E579, F579, "D")</f>
        <v>2</v>
      </c>
      <c r="P579" s="1">
        <f t="shared" ref="P579:P642" si="58">G579*H579</f>
        <v>25</v>
      </c>
      <c r="Q579" s="1">
        <f>ROUND(G579*H579*VLOOKUP(D579,'Cost Product'!A$1:C$21,3,FALSE),0)</f>
        <v>14</v>
      </c>
      <c r="R579" s="1">
        <f t="shared" ref="R579:R642" si="59">P579-Q579</f>
        <v>11</v>
      </c>
    </row>
    <row r="580" spans="1:18" x14ac:dyDescent="0.25">
      <c r="A580" s="1" t="s">
        <v>1195</v>
      </c>
      <c r="B580" t="s">
        <v>1196</v>
      </c>
      <c r="C580" t="s">
        <v>11</v>
      </c>
      <c r="D580" t="s">
        <v>31</v>
      </c>
      <c r="E580" s="4">
        <v>45172</v>
      </c>
      <c r="F580" s="4">
        <v>45176</v>
      </c>
      <c r="G580" s="1">
        <v>1</v>
      </c>
      <c r="H580" s="1">
        <v>5.5</v>
      </c>
      <c r="I580" t="s">
        <v>40</v>
      </c>
      <c r="J580" t="s">
        <v>2142</v>
      </c>
      <c r="K580" t="s">
        <v>14</v>
      </c>
      <c r="L580" s="1" t="str">
        <f t="shared" si="54"/>
        <v>2023</v>
      </c>
      <c r="M580" t="str">
        <f t="shared" si="55"/>
        <v>Sep</v>
      </c>
      <c r="N580" t="str">
        <f t="shared" si="56"/>
        <v>Sun</v>
      </c>
      <c r="O580" s="1">
        <f t="shared" si="57"/>
        <v>4</v>
      </c>
      <c r="P580" s="1">
        <f t="shared" si="58"/>
        <v>5.5</v>
      </c>
      <c r="Q580" s="1">
        <f>ROUND(G580*H580*VLOOKUP(D580,'Cost Product'!A$1:C$21,3,FALSE),0)</f>
        <v>3</v>
      </c>
      <c r="R580" s="1">
        <f t="shared" si="59"/>
        <v>2.5</v>
      </c>
    </row>
    <row r="581" spans="1:18" x14ac:dyDescent="0.25">
      <c r="A581" s="1" t="s">
        <v>1197</v>
      </c>
      <c r="B581" t="s">
        <v>1198</v>
      </c>
      <c r="C581" t="s">
        <v>65</v>
      </c>
      <c r="D581" t="s">
        <v>66</v>
      </c>
      <c r="E581" s="4">
        <v>45309</v>
      </c>
      <c r="F581" s="4">
        <v>45313</v>
      </c>
      <c r="G581" s="1">
        <v>2</v>
      </c>
      <c r="H581" s="1">
        <v>3.5</v>
      </c>
      <c r="I581" t="s">
        <v>13</v>
      </c>
      <c r="J581" t="s">
        <v>2141</v>
      </c>
      <c r="K581" t="s">
        <v>19</v>
      </c>
      <c r="L581" s="1" t="str">
        <f t="shared" si="54"/>
        <v>2024</v>
      </c>
      <c r="M581" t="str">
        <f t="shared" si="55"/>
        <v>Jan</v>
      </c>
      <c r="N581" t="str">
        <f t="shared" si="56"/>
        <v>Thu</v>
      </c>
      <c r="O581" s="1">
        <f t="shared" si="57"/>
        <v>4</v>
      </c>
      <c r="P581" s="1">
        <f t="shared" si="58"/>
        <v>7</v>
      </c>
      <c r="Q581" s="1">
        <f>ROUND(G581*H581*VLOOKUP(D581,'Cost Product'!A$1:C$21,3,FALSE),0)</f>
        <v>3</v>
      </c>
      <c r="R581" s="1">
        <f t="shared" si="59"/>
        <v>4</v>
      </c>
    </row>
    <row r="582" spans="1:18" x14ac:dyDescent="0.25">
      <c r="A582" s="1" t="s">
        <v>1199</v>
      </c>
      <c r="B582" t="s">
        <v>1200</v>
      </c>
      <c r="C582" t="s">
        <v>65</v>
      </c>
      <c r="D582" t="s">
        <v>66</v>
      </c>
      <c r="E582" s="4">
        <v>45393</v>
      </c>
      <c r="F582" s="4">
        <v>45401</v>
      </c>
      <c r="G582" s="1">
        <v>5</v>
      </c>
      <c r="H582" s="1">
        <v>3.5</v>
      </c>
      <c r="I582" t="s">
        <v>13</v>
      </c>
      <c r="J582" t="s">
        <v>2142</v>
      </c>
      <c r="K582" t="s">
        <v>19</v>
      </c>
      <c r="L582" s="1" t="str">
        <f t="shared" si="54"/>
        <v>2024</v>
      </c>
      <c r="M582" t="str">
        <f t="shared" si="55"/>
        <v>Apr</v>
      </c>
      <c r="N582" t="str">
        <f t="shared" si="56"/>
        <v>Thu</v>
      </c>
      <c r="O582" s="1">
        <f t="shared" si="57"/>
        <v>8</v>
      </c>
      <c r="P582" s="1">
        <f t="shared" si="58"/>
        <v>17.5</v>
      </c>
      <c r="Q582" s="1">
        <f>ROUND(G582*H582*VLOOKUP(D582,'Cost Product'!A$1:C$21,3,FALSE),0)</f>
        <v>8</v>
      </c>
      <c r="R582" s="1">
        <f t="shared" si="59"/>
        <v>9.5</v>
      </c>
    </row>
    <row r="583" spans="1:18" x14ac:dyDescent="0.25">
      <c r="A583" s="1" t="s">
        <v>1201</v>
      </c>
      <c r="B583" t="s">
        <v>1202</v>
      </c>
      <c r="C583" t="s">
        <v>26</v>
      </c>
      <c r="D583" t="s">
        <v>27</v>
      </c>
      <c r="E583" s="4">
        <v>45249</v>
      </c>
      <c r="F583" s="4">
        <v>45255</v>
      </c>
      <c r="G583" s="1">
        <v>3</v>
      </c>
      <c r="H583" s="1">
        <v>4.75</v>
      </c>
      <c r="I583" t="s">
        <v>13</v>
      </c>
      <c r="J583" t="s">
        <v>2141</v>
      </c>
      <c r="K583" t="s">
        <v>28</v>
      </c>
      <c r="L583" s="1" t="str">
        <f t="shared" si="54"/>
        <v>2023</v>
      </c>
      <c r="M583" t="str">
        <f t="shared" si="55"/>
        <v>Nov</v>
      </c>
      <c r="N583" t="str">
        <f t="shared" si="56"/>
        <v>Sun</v>
      </c>
      <c r="O583" s="1">
        <f t="shared" si="57"/>
        <v>6</v>
      </c>
      <c r="P583" s="1">
        <f t="shared" si="58"/>
        <v>14.25</v>
      </c>
      <c r="Q583" s="1">
        <f>ROUND(G583*H583*VLOOKUP(D583,'Cost Product'!A$1:C$21,3,FALSE),0)</f>
        <v>8</v>
      </c>
      <c r="R583" s="1">
        <f t="shared" si="59"/>
        <v>6.25</v>
      </c>
    </row>
    <row r="584" spans="1:18" x14ac:dyDescent="0.25">
      <c r="A584" s="1" t="s">
        <v>1203</v>
      </c>
      <c r="B584" t="s">
        <v>1204</v>
      </c>
      <c r="C584" t="s">
        <v>11</v>
      </c>
      <c r="D584" t="s">
        <v>36</v>
      </c>
      <c r="E584" s="4">
        <v>45479</v>
      </c>
      <c r="F584" s="4">
        <v>45485</v>
      </c>
      <c r="G584" s="1">
        <v>2</v>
      </c>
      <c r="H584" s="1">
        <v>6.25</v>
      </c>
      <c r="I584" t="s">
        <v>13</v>
      </c>
      <c r="J584" t="s">
        <v>2143</v>
      </c>
      <c r="K584" t="s">
        <v>28</v>
      </c>
      <c r="L584" s="1" t="str">
        <f t="shared" si="54"/>
        <v>2024</v>
      </c>
      <c r="M584" t="str">
        <f t="shared" si="55"/>
        <v>Jul</v>
      </c>
      <c r="N584" t="str">
        <f t="shared" si="56"/>
        <v>Sat</v>
      </c>
      <c r="O584" s="1">
        <f t="shared" si="57"/>
        <v>6</v>
      </c>
      <c r="P584" s="1">
        <f t="shared" si="58"/>
        <v>12.5</v>
      </c>
      <c r="Q584" s="1">
        <f>ROUND(G584*H584*VLOOKUP(D584,'Cost Product'!A$1:C$21,3,FALSE),0)</f>
        <v>7</v>
      </c>
      <c r="R584" s="1">
        <f t="shared" si="59"/>
        <v>5.5</v>
      </c>
    </row>
    <row r="585" spans="1:18" x14ac:dyDescent="0.25">
      <c r="A585" s="1" t="s">
        <v>1205</v>
      </c>
      <c r="B585" t="s">
        <v>1206</v>
      </c>
      <c r="C585" t="s">
        <v>22</v>
      </c>
      <c r="D585" t="s">
        <v>59</v>
      </c>
      <c r="E585" s="4">
        <v>45355</v>
      </c>
      <c r="F585" s="4">
        <v>45357</v>
      </c>
      <c r="G585" s="1">
        <v>5</v>
      </c>
      <c r="H585" s="1">
        <v>8.5</v>
      </c>
      <c r="I585" t="s">
        <v>13</v>
      </c>
      <c r="J585" t="s">
        <v>2145</v>
      </c>
      <c r="K585" t="s">
        <v>28</v>
      </c>
      <c r="L585" s="1" t="str">
        <f t="shared" si="54"/>
        <v>2024</v>
      </c>
      <c r="M585" t="str">
        <f t="shared" si="55"/>
        <v>Mar</v>
      </c>
      <c r="N585" t="str">
        <f t="shared" si="56"/>
        <v>Mon</v>
      </c>
      <c r="O585" s="1">
        <f t="shared" si="57"/>
        <v>2</v>
      </c>
      <c r="P585" s="1">
        <f t="shared" si="58"/>
        <v>42.5</v>
      </c>
      <c r="Q585" s="1">
        <f>ROUND(G585*H585*VLOOKUP(D585,'Cost Product'!A$1:C$21,3,FALSE),0)</f>
        <v>26</v>
      </c>
      <c r="R585" s="1">
        <f t="shared" si="59"/>
        <v>16.5</v>
      </c>
    </row>
    <row r="586" spans="1:18" x14ac:dyDescent="0.25">
      <c r="A586" s="1" t="s">
        <v>1207</v>
      </c>
      <c r="B586" t="s">
        <v>1208</v>
      </c>
      <c r="C586" t="s">
        <v>22</v>
      </c>
      <c r="D586" t="s">
        <v>59</v>
      </c>
      <c r="E586" s="4">
        <v>45278</v>
      </c>
      <c r="F586" s="4">
        <v>45281</v>
      </c>
      <c r="G586" s="1">
        <v>4</v>
      </c>
      <c r="H586" s="1">
        <v>8.5</v>
      </c>
      <c r="I586" t="s">
        <v>13</v>
      </c>
      <c r="J586" t="s">
        <v>2143</v>
      </c>
      <c r="K586" t="s">
        <v>19</v>
      </c>
      <c r="L586" s="1" t="str">
        <f t="shared" si="54"/>
        <v>2023</v>
      </c>
      <c r="M586" t="str">
        <f t="shared" si="55"/>
        <v>Dec</v>
      </c>
      <c r="N586" t="str">
        <f t="shared" si="56"/>
        <v>Mon</v>
      </c>
      <c r="O586" s="1">
        <f t="shared" si="57"/>
        <v>3</v>
      </c>
      <c r="P586" s="1">
        <f t="shared" si="58"/>
        <v>34</v>
      </c>
      <c r="Q586" s="1">
        <f>ROUND(G586*H586*VLOOKUP(D586,'Cost Product'!A$1:C$21,3,FALSE),0)</f>
        <v>20</v>
      </c>
      <c r="R586" s="1">
        <f t="shared" si="59"/>
        <v>14</v>
      </c>
    </row>
    <row r="587" spans="1:18" x14ac:dyDescent="0.25">
      <c r="A587" s="1" t="s">
        <v>1209</v>
      </c>
      <c r="B587" t="s">
        <v>1210</v>
      </c>
      <c r="C587" t="s">
        <v>26</v>
      </c>
      <c r="D587" t="s">
        <v>27</v>
      </c>
      <c r="E587" s="4">
        <v>45226</v>
      </c>
      <c r="F587" s="4">
        <v>45229</v>
      </c>
      <c r="G587" s="1">
        <v>2</v>
      </c>
      <c r="H587" s="1">
        <v>4.75</v>
      </c>
      <c r="I587" t="s">
        <v>13</v>
      </c>
      <c r="J587" t="s">
        <v>2144</v>
      </c>
      <c r="K587" t="s">
        <v>28</v>
      </c>
      <c r="L587" s="1" t="str">
        <f t="shared" si="54"/>
        <v>2023</v>
      </c>
      <c r="M587" t="str">
        <f t="shared" si="55"/>
        <v>Oct</v>
      </c>
      <c r="N587" t="str">
        <f t="shared" si="56"/>
        <v>Fri</v>
      </c>
      <c r="O587" s="1">
        <f t="shared" si="57"/>
        <v>3</v>
      </c>
      <c r="P587" s="1">
        <f t="shared" si="58"/>
        <v>9.5</v>
      </c>
      <c r="Q587" s="1">
        <f>ROUND(G587*H587*VLOOKUP(D587,'Cost Product'!A$1:C$21,3,FALSE),0)</f>
        <v>5</v>
      </c>
      <c r="R587" s="1">
        <f t="shared" si="59"/>
        <v>4.5</v>
      </c>
    </row>
    <row r="588" spans="1:18" x14ac:dyDescent="0.25">
      <c r="A588" s="1" t="s">
        <v>1211</v>
      </c>
      <c r="B588" t="s">
        <v>1212</v>
      </c>
      <c r="C588" t="s">
        <v>17</v>
      </c>
      <c r="D588" t="s">
        <v>18</v>
      </c>
      <c r="E588" s="4">
        <v>45222</v>
      </c>
      <c r="F588" s="4">
        <v>45225</v>
      </c>
      <c r="G588" s="1">
        <v>3</v>
      </c>
      <c r="H588" s="1">
        <v>5.5</v>
      </c>
      <c r="I588" t="s">
        <v>40</v>
      </c>
      <c r="J588" t="s">
        <v>2144</v>
      </c>
      <c r="K588" t="s">
        <v>14</v>
      </c>
      <c r="L588" s="1" t="str">
        <f t="shared" si="54"/>
        <v>2023</v>
      </c>
      <c r="M588" t="str">
        <f t="shared" si="55"/>
        <v>Oct</v>
      </c>
      <c r="N588" t="str">
        <f t="shared" si="56"/>
        <v>Mon</v>
      </c>
      <c r="O588" s="1">
        <f t="shared" si="57"/>
        <v>3</v>
      </c>
      <c r="P588" s="1">
        <f t="shared" si="58"/>
        <v>16.5</v>
      </c>
      <c r="Q588" s="1">
        <f>ROUND(G588*H588*VLOOKUP(D588,'Cost Product'!A$1:C$21,3,FALSE),0)</f>
        <v>10</v>
      </c>
      <c r="R588" s="1">
        <f t="shared" si="59"/>
        <v>6.5</v>
      </c>
    </row>
    <row r="589" spans="1:18" x14ac:dyDescent="0.25">
      <c r="A589" s="1" t="s">
        <v>1213</v>
      </c>
      <c r="B589" t="s">
        <v>1214</v>
      </c>
      <c r="C589" t="s">
        <v>22</v>
      </c>
      <c r="D589" t="s">
        <v>59</v>
      </c>
      <c r="E589" s="4">
        <v>45324</v>
      </c>
      <c r="F589" s="4">
        <v>45330</v>
      </c>
      <c r="G589" s="1">
        <v>2</v>
      </c>
      <c r="H589" s="1">
        <v>8.5</v>
      </c>
      <c r="I589" t="s">
        <v>13</v>
      </c>
      <c r="J589" t="s">
        <v>2146</v>
      </c>
      <c r="K589" t="s">
        <v>28</v>
      </c>
      <c r="L589" s="1" t="str">
        <f t="shared" si="54"/>
        <v>2024</v>
      </c>
      <c r="M589" t="str">
        <f t="shared" si="55"/>
        <v>Feb</v>
      </c>
      <c r="N589" t="str">
        <f t="shared" si="56"/>
        <v>Fri</v>
      </c>
      <c r="O589" s="1">
        <f t="shared" si="57"/>
        <v>6</v>
      </c>
      <c r="P589" s="1">
        <f t="shared" si="58"/>
        <v>17</v>
      </c>
      <c r="Q589" s="1">
        <f>ROUND(G589*H589*VLOOKUP(D589,'Cost Product'!A$1:C$21,3,FALSE),0)</f>
        <v>10</v>
      </c>
      <c r="R589" s="1">
        <f t="shared" si="59"/>
        <v>7</v>
      </c>
    </row>
    <row r="590" spans="1:18" x14ac:dyDescent="0.25">
      <c r="A590" s="1" t="s">
        <v>1215</v>
      </c>
      <c r="B590" t="s">
        <v>1216</v>
      </c>
      <c r="C590" t="s">
        <v>65</v>
      </c>
      <c r="D590" t="s">
        <v>120</v>
      </c>
      <c r="E590" s="4">
        <v>45299</v>
      </c>
      <c r="F590" s="4">
        <v>45305</v>
      </c>
      <c r="G590" s="1">
        <v>1</v>
      </c>
      <c r="H590" s="1">
        <v>3.75</v>
      </c>
      <c r="I590" t="s">
        <v>13</v>
      </c>
      <c r="J590" t="s">
        <v>2141</v>
      </c>
      <c r="K590" t="s">
        <v>28</v>
      </c>
      <c r="L590" s="1" t="str">
        <f t="shared" si="54"/>
        <v>2024</v>
      </c>
      <c r="M590" t="str">
        <f t="shared" si="55"/>
        <v>Jan</v>
      </c>
      <c r="N590" t="str">
        <f t="shared" si="56"/>
        <v>Mon</v>
      </c>
      <c r="O590" s="1">
        <f t="shared" si="57"/>
        <v>6</v>
      </c>
      <c r="P590" s="1">
        <f t="shared" si="58"/>
        <v>3.75</v>
      </c>
      <c r="Q590" s="1">
        <f>ROUND(G590*H590*VLOOKUP(D590,'Cost Product'!A$1:C$21,3,FALSE),0)</f>
        <v>2</v>
      </c>
      <c r="R590" s="1">
        <f t="shared" si="59"/>
        <v>1.75</v>
      </c>
    </row>
    <row r="591" spans="1:18" x14ac:dyDescent="0.25">
      <c r="A591" s="1" t="s">
        <v>1217</v>
      </c>
      <c r="B591" t="s">
        <v>1218</v>
      </c>
      <c r="C591" t="s">
        <v>22</v>
      </c>
      <c r="D591" t="s">
        <v>62</v>
      </c>
      <c r="E591" s="4">
        <v>45379</v>
      </c>
      <c r="F591" s="4">
        <v>45380</v>
      </c>
      <c r="G591" s="1">
        <v>5</v>
      </c>
      <c r="H591" s="1">
        <v>8</v>
      </c>
      <c r="I591" t="s">
        <v>13</v>
      </c>
      <c r="J591" t="s">
        <v>2144</v>
      </c>
      <c r="K591" t="s">
        <v>28</v>
      </c>
      <c r="L591" s="1" t="str">
        <f t="shared" si="54"/>
        <v>2024</v>
      </c>
      <c r="M591" t="str">
        <f t="shared" si="55"/>
        <v>Mar</v>
      </c>
      <c r="N591" t="str">
        <f t="shared" si="56"/>
        <v>Thu</v>
      </c>
      <c r="O591" s="1">
        <f t="shared" si="57"/>
        <v>1</v>
      </c>
      <c r="P591" s="1">
        <f t="shared" si="58"/>
        <v>40</v>
      </c>
      <c r="Q591" s="1">
        <f>ROUND(G591*H591*VLOOKUP(D591,'Cost Product'!A$1:C$21,3,FALSE),0)</f>
        <v>23</v>
      </c>
      <c r="R591" s="1">
        <f t="shared" si="59"/>
        <v>17</v>
      </c>
    </row>
    <row r="592" spans="1:18" x14ac:dyDescent="0.25">
      <c r="A592" s="1" t="s">
        <v>1219</v>
      </c>
      <c r="B592" t="s">
        <v>1220</v>
      </c>
      <c r="C592" t="s">
        <v>22</v>
      </c>
      <c r="D592" t="s">
        <v>56</v>
      </c>
      <c r="E592" s="4">
        <v>45457</v>
      </c>
      <c r="F592" s="4">
        <v>45458</v>
      </c>
      <c r="G592" s="1">
        <v>1</v>
      </c>
      <c r="H592" s="1">
        <v>8.75</v>
      </c>
      <c r="I592" t="s">
        <v>13</v>
      </c>
      <c r="J592" t="s">
        <v>2146</v>
      </c>
      <c r="K592" t="s">
        <v>19</v>
      </c>
      <c r="L592" s="1" t="str">
        <f t="shared" si="54"/>
        <v>2024</v>
      </c>
      <c r="M592" t="str">
        <f t="shared" si="55"/>
        <v>Jun</v>
      </c>
      <c r="N592" t="str">
        <f t="shared" si="56"/>
        <v>Fri</v>
      </c>
      <c r="O592" s="1">
        <f t="shared" si="57"/>
        <v>1</v>
      </c>
      <c r="P592" s="1">
        <f t="shared" si="58"/>
        <v>8.75</v>
      </c>
      <c r="Q592" s="1">
        <f>ROUND(G592*H592*VLOOKUP(D592,'Cost Product'!A$1:C$21,3,FALSE),0)</f>
        <v>5</v>
      </c>
      <c r="R592" s="1">
        <f t="shared" si="59"/>
        <v>3.75</v>
      </c>
    </row>
    <row r="593" spans="1:18" x14ac:dyDescent="0.25">
      <c r="A593" s="1" t="s">
        <v>1221</v>
      </c>
      <c r="B593" t="s">
        <v>1222</v>
      </c>
      <c r="C593" t="s">
        <v>26</v>
      </c>
      <c r="D593" t="s">
        <v>82</v>
      </c>
      <c r="E593" s="4">
        <v>45495</v>
      </c>
      <c r="F593" s="4">
        <v>45501</v>
      </c>
      <c r="G593" s="1">
        <v>5</v>
      </c>
      <c r="H593" s="1">
        <v>4.25</v>
      </c>
      <c r="I593" t="s">
        <v>13</v>
      </c>
      <c r="J593" t="s">
        <v>2143</v>
      </c>
      <c r="K593" t="s">
        <v>14</v>
      </c>
      <c r="L593" s="1" t="str">
        <f t="shared" si="54"/>
        <v>2024</v>
      </c>
      <c r="M593" t="str">
        <f t="shared" si="55"/>
        <v>Jul</v>
      </c>
      <c r="N593" t="str">
        <f t="shared" si="56"/>
        <v>Mon</v>
      </c>
      <c r="O593" s="1">
        <f t="shared" si="57"/>
        <v>6</v>
      </c>
      <c r="P593" s="1">
        <f t="shared" si="58"/>
        <v>21.25</v>
      </c>
      <c r="Q593" s="1">
        <f>ROUND(G593*H593*VLOOKUP(D593,'Cost Product'!A$1:C$21,3,FALSE),0)</f>
        <v>10</v>
      </c>
      <c r="R593" s="1">
        <f t="shared" si="59"/>
        <v>11.25</v>
      </c>
    </row>
    <row r="594" spans="1:18" x14ac:dyDescent="0.25">
      <c r="A594" s="1" t="s">
        <v>1223</v>
      </c>
      <c r="B594" t="s">
        <v>1224</v>
      </c>
      <c r="C594" t="s">
        <v>26</v>
      </c>
      <c r="D594" t="s">
        <v>45</v>
      </c>
      <c r="E594" s="4">
        <v>45546</v>
      </c>
      <c r="F594" s="4">
        <v>45551</v>
      </c>
      <c r="G594" s="1">
        <v>4</v>
      </c>
      <c r="H594" s="1">
        <v>4.5</v>
      </c>
      <c r="I594" t="s">
        <v>13</v>
      </c>
      <c r="J594" t="s">
        <v>2142</v>
      </c>
      <c r="K594" t="s">
        <v>14</v>
      </c>
      <c r="L594" s="1" t="str">
        <f t="shared" si="54"/>
        <v>2024</v>
      </c>
      <c r="M594" t="str">
        <f t="shared" si="55"/>
        <v>Sep</v>
      </c>
      <c r="N594" t="str">
        <f t="shared" si="56"/>
        <v>Wed</v>
      </c>
      <c r="O594" s="1">
        <f t="shared" si="57"/>
        <v>5</v>
      </c>
      <c r="P594" s="1">
        <f t="shared" si="58"/>
        <v>18</v>
      </c>
      <c r="Q594" s="1">
        <f>ROUND(G594*H594*VLOOKUP(D594,'Cost Product'!A$1:C$21,3,FALSE),0)</f>
        <v>9</v>
      </c>
      <c r="R594" s="1">
        <f t="shared" si="59"/>
        <v>9</v>
      </c>
    </row>
    <row r="595" spans="1:18" x14ac:dyDescent="0.25">
      <c r="A595" s="1" t="s">
        <v>1225</v>
      </c>
      <c r="B595" t="s">
        <v>1226</v>
      </c>
      <c r="C595" t="s">
        <v>65</v>
      </c>
      <c r="D595" t="s">
        <v>115</v>
      </c>
      <c r="E595" s="4">
        <v>45495</v>
      </c>
      <c r="F595" s="4">
        <v>45502</v>
      </c>
      <c r="G595" s="1">
        <v>5</v>
      </c>
      <c r="H595" s="1">
        <v>3</v>
      </c>
      <c r="I595" t="s">
        <v>13</v>
      </c>
      <c r="J595" t="s">
        <v>2145</v>
      </c>
      <c r="K595" t="s">
        <v>14</v>
      </c>
      <c r="L595" s="1" t="str">
        <f t="shared" si="54"/>
        <v>2024</v>
      </c>
      <c r="M595" t="str">
        <f t="shared" si="55"/>
        <v>Jul</v>
      </c>
      <c r="N595" t="str">
        <f t="shared" si="56"/>
        <v>Mon</v>
      </c>
      <c r="O595" s="1">
        <f t="shared" si="57"/>
        <v>7</v>
      </c>
      <c r="P595" s="1">
        <f t="shared" si="58"/>
        <v>15</v>
      </c>
      <c r="Q595" s="1">
        <f>ROUND(G595*H595*VLOOKUP(D595,'Cost Product'!A$1:C$21,3,FALSE),0)</f>
        <v>7</v>
      </c>
      <c r="R595" s="1">
        <f t="shared" si="59"/>
        <v>8</v>
      </c>
    </row>
    <row r="596" spans="1:18" x14ac:dyDescent="0.25">
      <c r="A596" s="1" t="s">
        <v>1227</v>
      </c>
      <c r="B596" t="s">
        <v>1228</v>
      </c>
      <c r="C596" t="s">
        <v>26</v>
      </c>
      <c r="D596" t="s">
        <v>82</v>
      </c>
      <c r="E596" s="4">
        <v>45329</v>
      </c>
      <c r="F596" s="4">
        <v>45330</v>
      </c>
      <c r="G596" s="1">
        <v>4</v>
      </c>
      <c r="H596" s="1">
        <v>4.25</v>
      </c>
      <c r="I596" t="s">
        <v>13</v>
      </c>
      <c r="J596" t="s">
        <v>2144</v>
      </c>
      <c r="K596" t="s">
        <v>28</v>
      </c>
      <c r="L596" s="1" t="str">
        <f t="shared" si="54"/>
        <v>2024</v>
      </c>
      <c r="M596" t="str">
        <f t="shared" si="55"/>
        <v>Feb</v>
      </c>
      <c r="N596" t="str">
        <f t="shared" si="56"/>
        <v>Wed</v>
      </c>
      <c r="O596" s="1">
        <f t="shared" si="57"/>
        <v>1</v>
      </c>
      <c r="P596" s="1">
        <f t="shared" si="58"/>
        <v>17</v>
      </c>
      <c r="Q596" s="1">
        <f>ROUND(G596*H596*VLOOKUP(D596,'Cost Product'!A$1:C$21,3,FALSE),0)</f>
        <v>8</v>
      </c>
      <c r="R596" s="1">
        <f t="shared" si="59"/>
        <v>9</v>
      </c>
    </row>
    <row r="597" spans="1:18" x14ac:dyDescent="0.25">
      <c r="A597" s="1" t="s">
        <v>1229</v>
      </c>
      <c r="B597" t="s">
        <v>1230</v>
      </c>
      <c r="C597" t="s">
        <v>17</v>
      </c>
      <c r="D597" t="s">
        <v>53</v>
      </c>
      <c r="E597" s="4">
        <v>45319</v>
      </c>
      <c r="F597" s="4">
        <v>45332</v>
      </c>
      <c r="G597" s="1">
        <v>2</v>
      </c>
      <c r="H597" s="1">
        <v>4.75</v>
      </c>
      <c r="I597" t="s">
        <v>13</v>
      </c>
      <c r="J597" t="s">
        <v>2145</v>
      </c>
      <c r="K597" t="s">
        <v>14</v>
      </c>
      <c r="L597" s="1" t="str">
        <f t="shared" si="54"/>
        <v>2024</v>
      </c>
      <c r="M597" t="str">
        <f t="shared" si="55"/>
        <v>Jan</v>
      </c>
      <c r="N597" t="str">
        <f t="shared" si="56"/>
        <v>Sun</v>
      </c>
      <c r="O597" s="1">
        <f t="shared" si="57"/>
        <v>13</v>
      </c>
      <c r="P597" s="1">
        <f t="shared" si="58"/>
        <v>9.5</v>
      </c>
      <c r="Q597" s="1">
        <f>ROUND(G597*H597*VLOOKUP(D597,'Cost Product'!A$1:C$21,3,FALSE),0)</f>
        <v>5</v>
      </c>
      <c r="R597" s="1">
        <f t="shared" si="59"/>
        <v>4.5</v>
      </c>
    </row>
    <row r="598" spans="1:18" x14ac:dyDescent="0.25">
      <c r="A598" s="1" t="s">
        <v>1231</v>
      </c>
      <c r="B598" t="s">
        <v>1232</v>
      </c>
      <c r="C598" t="s">
        <v>11</v>
      </c>
      <c r="D598" t="s">
        <v>31</v>
      </c>
      <c r="E598" s="4">
        <v>45320</v>
      </c>
      <c r="F598" s="4">
        <v>45325</v>
      </c>
      <c r="G598" s="1">
        <v>1</v>
      </c>
      <c r="H598" s="1">
        <v>5.5</v>
      </c>
      <c r="I598" t="s">
        <v>13</v>
      </c>
      <c r="J598" t="s">
        <v>2143</v>
      </c>
      <c r="K598" t="s">
        <v>19</v>
      </c>
      <c r="L598" s="1" t="str">
        <f t="shared" si="54"/>
        <v>2024</v>
      </c>
      <c r="M598" t="str">
        <f t="shared" si="55"/>
        <v>Jan</v>
      </c>
      <c r="N598" t="str">
        <f t="shared" si="56"/>
        <v>Mon</v>
      </c>
      <c r="O598" s="1">
        <f t="shared" si="57"/>
        <v>5</v>
      </c>
      <c r="P598" s="1">
        <f t="shared" si="58"/>
        <v>5.5</v>
      </c>
      <c r="Q598" s="1">
        <f>ROUND(G598*H598*VLOOKUP(D598,'Cost Product'!A$1:C$21,3,FALSE),0)</f>
        <v>3</v>
      </c>
      <c r="R598" s="1">
        <f t="shared" si="59"/>
        <v>2.5</v>
      </c>
    </row>
    <row r="599" spans="1:18" x14ac:dyDescent="0.25">
      <c r="A599" s="1" t="s">
        <v>1233</v>
      </c>
      <c r="B599" t="s">
        <v>1234</v>
      </c>
      <c r="C599" t="s">
        <v>65</v>
      </c>
      <c r="D599" t="s">
        <v>66</v>
      </c>
      <c r="E599" s="4">
        <v>45385</v>
      </c>
      <c r="F599" s="4">
        <v>45388</v>
      </c>
      <c r="G599" s="1">
        <v>3</v>
      </c>
      <c r="H599" s="1">
        <v>3.5</v>
      </c>
      <c r="I599" t="s">
        <v>13</v>
      </c>
      <c r="J599" t="s">
        <v>2145</v>
      </c>
      <c r="K599" t="s">
        <v>14</v>
      </c>
      <c r="L599" s="1" t="str">
        <f t="shared" si="54"/>
        <v>2024</v>
      </c>
      <c r="M599" t="str">
        <f t="shared" si="55"/>
        <v>Apr</v>
      </c>
      <c r="N599" t="str">
        <f t="shared" si="56"/>
        <v>Wed</v>
      </c>
      <c r="O599" s="1">
        <f t="shared" si="57"/>
        <v>3</v>
      </c>
      <c r="P599" s="1">
        <f t="shared" si="58"/>
        <v>10.5</v>
      </c>
      <c r="Q599" s="1">
        <f>ROUND(G599*H599*VLOOKUP(D599,'Cost Product'!A$1:C$21,3,FALSE),0)</f>
        <v>5</v>
      </c>
      <c r="R599" s="1">
        <f t="shared" si="59"/>
        <v>5.5</v>
      </c>
    </row>
    <row r="600" spans="1:18" x14ac:dyDescent="0.25">
      <c r="A600" s="1" t="s">
        <v>1235</v>
      </c>
      <c r="B600" t="s">
        <v>1236</v>
      </c>
      <c r="C600" t="s">
        <v>22</v>
      </c>
      <c r="D600" t="s">
        <v>23</v>
      </c>
      <c r="E600" s="4">
        <v>45391</v>
      </c>
      <c r="F600" s="4">
        <v>45392</v>
      </c>
      <c r="G600" s="1">
        <v>3</v>
      </c>
      <c r="H600" s="1">
        <v>10</v>
      </c>
      <c r="I600" t="s">
        <v>13</v>
      </c>
      <c r="J600" t="s">
        <v>2144</v>
      </c>
      <c r="K600" t="s">
        <v>19</v>
      </c>
      <c r="L600" s="1" t="str">
        <f t="shared" si="54"/>
        <v>2024</v>
      </c>
      <c r="M600" t="str">
        <f t="shared" si="55"/>
        <v>Apr</v>
      </c>
      <c r="N600" t="str">
        <f t="shared" si="56"/>
        <v>Tue</v>
      </c>
      <c r="O600" s="1">
        <f t="shared" si="57"/>
        <v>1</v>
      </c>
      <c r="P600" s="1">
        <f t="shared" si="58"/>
        <v>30</v>
      </c>
      <c r="Q600" s="1">
        <f>ROUND(G600*H600*VLOOKUP(D600,'Cost Product'!A$1:C$21,3,FALSE),0)</f>
        <v>20</v>
      </c>
      <c r="R600" s="1">
        <f t="shared" si="59"/>
        <v>10</v>
      </c>
    </row>
    <row r="601" spans="1:18" x14ac:dyDescent="0.25">
      <c r="A601" s="1" t="s">
        <v>1237</v>
      </c>
      <c r="B601" t="s">
        <v>1238</v>
      </c>
      <c r="C601" t="s">
        <v>26</v>
      </c>
      <c r="D601" t="s">
        <v>45</v>
      </c>
      <c r="E601" s="4">
        <v>45349</v>
      </c>
      <c r="F601" s="4">
        <v>45352</v>
      </c>
      <c r="G601" s="1">
        <v>1</v>
      </c>
      <c r="H601" s="1">
        <v>4.5</v>
      </c>
      <c r="I601" t="s">
        <v>13</v>
      </c>
      <c r="J601" t="s">
        <v>2141</v>
      </c>
      <c r="K601" t="s">
        <v>28</v>
      </c>
      <c r="L601" s="1" t="str">
        <f t="shared" si="54"/>
        <v>2024</v>
      </c>
      <c r="M601" t="str">
        <f t="shared" si="55"/>
        <v>Feb</v>
      </c>
      <c r="N601" t="str">
        <f t="shared" si="56"/>
        <v>Tue</v>
      </c>
      <c r="O601" s="1">
        <f t="shared" si="57"/>
        <v>3</v>
      </c>
      <c r="P601" s="1">
        <f t="shared" si="58"/>
        <v>4.5</v>
      </c>
      <c r="Q601" s="1">
        <f>ROUND(G601*H601*VLOOKUP(D601,'Cost Product'!A$1:C$21,3,FALSE),0)</f>
        <v>2</v>
      </c>
      <c r="R601" s="1">
        <f t="shared" si="59"/>
        <v>2.5</v>
      </c>
    </row>
    <row r="602" spans="1:18" x14ac:dyDescent="0.25">
      <c r="A602" s="1" t="s">
        <v>1239</v>
      </c>
      <c r="B602" t="s">
        <v>1240</v>
      </c>
      <c r="C602" t="s">
        <v>65</v>
      </c>
      <c r="D602" t="s">
        <v>66</v>
      </c>
      <c r="E602" s="4">
        <v>45448</v>
      </c>
      <c r="F602" s="4">
        <v>45451</v>
      </c>
      <c r="G602" s="1">
        <v>5</v>
      </c>
      <c r="H602" s="1">
        <v>3.5</v>
      </c>
      <c r="I602" t="s">
        <v>13</v>
      </c>
      <c r="J602" t="s">
        <v>2142</v>
      </c>
      <c r="K602" t="s">
        <v>14</v>
      </c>
      <c r="L602" s="1" t="str">
        <f t="shared" si="54"/>
        <v>2024</v>
      </c>
      <c r="M602" t="str">
        <f t="shared" si="55"/>
        <v>Jun</v>
      </c>
      <c r="N602" t="str">
        <f t="shared" si="56"/>
        <v>Wed</v>
      </c>
      <c r="O602" s="1">
        <f t="shared" si="57"/>
        <v>3</v>
      </c>
      <c r="P602" s="1">
        <f t="shared" si="58"/>
        <v>17.5</v>
      </c>
      <c r="Q602" s="1">
        <f>ROUND(G602*H602*VLOOKUP(D602,'Cost Product'!A$1:C$21,3,FALSE),0)</f>
        <v>8</v>
      </c>
      <c r="R602" s="1">
        <f t="shared" si="59"/>
        <v>9.5</v>
      </c>
    </row>
    <row r="603" spans="1:18" x14ac:dyDescent="0.25">
      <c r="A603" s="1" t="s">
        <v>1241</v>
      </c>
      <c r="B603" t="s">
        <v>1242</v>
      </c>
      <c r="C603" t="s">
        <v>65</v>
      </c>
      <c r="D603" t="s">
        <v>66</v>
      </c>
      <c r="E603" s="4">
        <v>45547</v>
      </c>
      <c r="F603" s="4">
        <v>45549</v>
      </c>
      <c r="G603" s="1">
        <v>3</v>
      </c>
      <c r="H603" s="1">
        <v>3.5</v>
      </c>
      <c r="I603" t="s">
        <v>13</v>
      </c>
      <c r="J603" t="s">
        <v>2141</v>
      </c>
      <c r="K603" t="s">
        <v>19</v>
      </c>
      <c r="L603" s="1" t="str">
        <f t="shared" si="54"/>
        <v>2024</v>
      </c>
      <c r="M603" t="str">
        <f t="shared" si="55"/>
        <v>Sep</v>
      </c>
      <c r="N603" t="str">
        <f t="shared" si="56"/>
        <v>Thu</v>
      </c>
      <c r="O603" s="1">
        <f t="shared" si="57"/>
        <v>2</v>
      </c>
      <c r="P603" s="1">
        <f t="shared" si="58"/>
        <v>10.5</v>
      </c>
      <c r="Q603" s="1">
        <f>ROUND(G603*H603*VLOOKUP(D603,'Cost Product'!A$1:C$21,3,FALSE),0)</f>
        <v>5</v>
      </c>
      <c r="R603" s="1">
        <f t="shared" si="59"/>
        <v>5.5</v>
      </c>
    </row>
    <row r="604" spans="1:18" x14ac:dyDescent="0.25">
      <c r="A604" s="1" t="s">
        <v>1243</v>
      </c>
      <c r="B604" t="s">
        <v>1244</v>
      </c>
      <c r="C604" t="s">
        <v>26</v>
      </c>
      <c r="D604" t="s">
        <v>82</v>
      </c>
      <c r="E604" s="4">
        <v>45492</v>
      </c>
      <c r="F604" s="4">
        <v>45502</v>
      </c>
      <c r="G604" s="1">
        <v>4</v>
      </c>
      <c r="H604" s="1">
        <v>4.25</v>
      </c>
      <c r="I604" t="s">
        <v>13</v>
      </c>
      <c r="J604" t="s">
        <v>2144</v>
      </c>
      <c r="K604" t="s">
        <v>28</v>
      </c>
      <c r="L604" s="1" t="str">
        <f t="shared" si="54"/>
        <v>2024</v>
      </c>
      <c r="M604" t="str">
        <f t="shared" si="55"/>
        <v>Jul</v>
      </c>
      <c r="N604" t="str">
        <f t="shared" si="56"/>
        <v>Fri</v>
      </c>
      <c r="O604" s="1">
        <f t="shared" si="57"/>
        <v>10</v>
      </c>
      <c r="P604" s="1">
        <f t="shared" si="58"/>
        <v>17</v>
      </c>
      <c r="Q604" s="1">
        <f>ROUND(G604*H604*VLOOKUP(D604,'Cost Product'!A$1:C$21,3,FALSE),0)</f>
        <v>8</v>
      </c>
      <c r="R604" s="1">
        <f t="shared" si="59"/>
        <v>9</v>
      </c>
    </row>
    <row r="605" spans="1:18" x14ac:dyDescent="0.25">
      <c r="A605" s="1" t="s">
        <v>1245</v>
      </c>
      <c r="B605" t="s">
        <v>1246</v>
      </c>
      <c r="C605" t="s">
        <v>22</v>
      </c>
      <c r="D605" t="s">
        <v>23</v>
      </c>
      <c r="E605" s="4">
        <v>45575</v>
      </c>
      <c r="F605" s="4">
        <v>45577</v>
      </c>
      <c r="G605" s="1">
        <v>5</v>
      </c>
      <c r="H605" s="1">
        <v>10</v>
      </c>
      <c r="I605" t="s">
        <v>13</v>
      </c>
      <c r="J605" t="s">
        <v>2141</v>
      </c>
      <c r="K605" t="s">
        <v>28</v>
      </c>
      <c r="L605" s="1" t="str">
        <f t="shared" si="54"/>
        <v>2024</v>
      </c>
      <c r="M605" t="str">
        <f t="shared" si="55"/>
        <v>Oct</v>
      </c>
      <c r="N605" t="str">
        <f t="shared" si="56"/>
        <v>Thu</v>
      </c>
      <c r="O605" s="1">
        <f t="shared" si="57"/>
        <v>2</v>
      </c>
      <c r="P605" s="1">
        <f t="shared" si="58"/>
        <v>50</v>
      </c>
      <c r="Q605" s="1">
        <f>ROUND(G605*H605*VLOOKUP(D605,'Cost Product'!A$1:C$21,3,FALSE),0)</f>
        <v>33</v>
      </c>
      <c r="R605" s="1">
        <f t="shared" si="59"/>
        <v>17</v>
      </c>
    </row>
    <row r="606" spans="1:18" x14ac:dyDescent="0.25">
      <c r="A606" s="1" t="s">
        <v>1247</v>
      </c>
      <c r="B606" t="s">
        <v>1248</v>
      </c>
      <c r="C606" t="s">
        <v>22</v>
      </c>
      <c r="D606" t="s">
        <v>23</v>
      </c>
      <c r="E606" s="4">
        <v>45493</v>
      </c>
      <c r="F606" s="4">
        <v>45494</v>
      </c>
      <c r="G606" s="1">
        <v>2</v>
      </c>
      <c r="H606" s="1">
        <v>10</v>
      </c>
      <c r="I606" t="s">
        <v>13</v>
      </c>
      <c r="J606" t="s">
        <v>2142</v>
      </c>
      <c r="K606" t="s">
        <v>28</v>
      </c>
      <c r="L606" s="1" t="str">
        <f t="shared" si="54"/>
        <v>2024</v>
      </c>
      <c r="M606" t="str">
        <f t="shared" si="55"/>
        <v>Jul</v>
      </c>
      <c r="N606" t="str">
        <f t="shared" si="56"/>
        <v>Sat</v>
      </c>
      <c r="O606" s="1">
        <f t="shared" si="57"/>
        <v>1</v>
      </c>
      <c r="P606" s="1">
        <f t="shared" si="58"/>
        <v>20</v>
      </c>
      <c r="Q606" s="1">
        <f>ROUND(G606*H606*VLOOKUP(D606,'Cost Product'!A$1:C$21,3,FALSE),0)</f>
        <v>13</v>
      </c>
      <c r="R606" s="1">
        <f t="shared" si="59"/>
        <v>7</v>
      </c>
    </row>
    <row r="607" spans="1:18" x14ac:dyDescent="0.25">
      <c r="A607" s="1" t="s">
        <v>1249</v>
      </c>
      <c r="B607" t="s">
        <v>1250</v>
      </c>
      <c r="C607" t="s">
        <v>65</v>
      </c>
      <c r="D607" t="s">
        <v>66</v>
      </c>
      <c r="E607" s="4">
        <v>45559</v>
      </c>
      <c r="F607" s="4">
        <v>45562</v>
      </c>
      <c r="G607" s="1">
        <v>3</v>
      </c>
      <c r="H607" s="1">
        <v>3.5</v>
      </c>
      <c r="I607" t="s">
        <v>13</v>
      </c>
      <c r="J607" t="s">
        <v>2144</v>
      </c>
      <c r="K607" t="s">
        <v>19</v>
      </c>
      <c r="L607" s="1" t="str">
        <f t="shared" si="54"/>
        <v>2024</v>
      </c>
      <c r="M607" t="str">
        <f t="shared" si="55"/>
        <v>Sep</v>
      </c>
      <c r="N607" t="str">
        <f t="shared" si="56"/>
        <v>Tue</v>
      </c>
      <c r="O607" s="1">
        <f t="shared" si="57"/>
        <v>3</v>
      </c>
      <c r="P607" s="1">
        <f t="shared" si="58"/>
        <v>10.5</v>
      </c>
      <c r="Q607" s="1">
        <f>ROUND(G607*H607*VLOOKUP(D607,'Cost Product'!A$1:C$21,3,FALSE),0)</f>
        <v>5</v>
      </c>
      <c r="R607" s="1">
        <f t="shared" si="59"/>
        <v>5.5</v>
      </c>
    </row>
    <row r="608" spans="1:18" x14ac:dyDescent="0.25">
      <c r="A608" s="1" t="s">
        <v>1251</v>
      </c>
      <c r="B608" t="s">
        <v>1252</v>
      </c>
      <c r="C608" t="s">
        <v>22</v>
      </c>
      <c r="D608" t="s">
        <v>56</v>
      </c>
      <c r="E608" s="4">
        <v>45245</v>
      </c>
      <c r="F608" s="4">
        <v>45247</v>
      </c>
      <c r="G608" s="1">
        <v>3</v>
      </c>
      <c r="H608" s="1">
        <v>8.75</v>
      </c>
      <c r="I608" t="s">
        <v>13</v>
      </c>
      <c r="J608" t="s">
        <v>2141</v>
      </c>
      <c r="K608" t="s">
        <v>28</v>
      </c>
      <c r="L608" s="1" t="str">
        <f t="shared" si="54"/>
        <v>2023</v>
      </c>
      <c r="M608" t="str">
        <f t="shared" si="55"/>
        <v>Nov</v>
      </c>
      <c r="N608" t="str">
        <f t="shared" si="56"/>
        <v>Wed</v>
      </c>
      <c r="O608" s="1">
        <f t="shared" si="57"/>
        <v>2</v>
      </c>
      <c r="P608" s="1">
        <f t="shared" si="58"/>
        <v>26.25</v>
      </c>
      <c r="Q608" s="1">
        <f>ROUND(G608*H608*VLOOKUP(D608,'Cost Product'!A$1:C$21,3,FALSE),0)</f>
        <v>15</v>
      </c>
      <c r="R608" s="1">
        <f t="shared" si="59"/>
        <v>11.25</v>
      </c>
    </row>
    <row r="609" spans="1:18" x14ac:dyDescent="0.25">
      <c r="A609" s="1" t="s">
        <v>1253</v>
      </c>
      <c r="B609" t="s">
        <v>1254</v>
      </c>
      <c r="C609" t="s">
        <v>26</v>
      </c>
      <c r="D609" t="s">
        <v>82</v>
      </c>
      <c r="E609" s="4">
        <v>45568</v>
      </c>
      <c r="F609" s="4">
        <v>45574</v>
      </c>
      <c r="G609" s="1">
        <v>4</v>
      </c>
      <c r="H609" s="1">
        <v>4.25</v>
      </c>
      <c r="I609" t="s">
        <v>13</v>
      </c>
      <c r="J609" t="s">
        <v>2141</v>
      </c>
      <c r="K609" t="s">
        <v>28</v>
      </c>
      <c r="L609" s="1" t="str">
        <f t="shared" si="54"/>
        <v>2024</v>
      </c>
      <c r="M609" t="str">
        <f t="shared" si="55"/>
        <v>Oct</v>
      </c>
      <c r="N609" t="str">
        <f t="shared" si="56"/>
        <v>Thu</v>
      </c>
      <c r="O609" s="1">
        <f t="shared" si="57"/>
        <v>6</v>
      </c>
      <c r="P609" s="1">
        <f t="shared" si="58"/>
        <v>17</v>
      </c>
      <c r="Q609" s="1">
        <f>ROUND(G609*H609*VLOOKUP(D609,'Cost Product'!A$1:C$21,3,FALSE),0)</f>
        <v>8</v>
      </c>
      <c r="R609" s="1">
        <f t="shared" si="59"/>
        <v>9</v>
      </c>
    </row>
    <row r="610" spans="1:18" x14ac:dyDescent="0.25">
      <c r="A610" s="1" t="s">
        <v>1255</v>
      </c>
      <c r="B610" t="s">
        <v>1256</v>
      </c>
      <c r="C610" t="s">
        <v>11</v>
      </c>
      <c r="D610" t="s">
        <v>39</v>
      </c>
      <c r="E610" s="4">
        <v>45216</v>
      </c>
      <c r="F610" s="4">
        <v>45225</v>
      </c>
      <c r="G610" s="1">
        <v>4</v>
      </c>
      <c r="H610" s="1">
        <v>5.75</v>
      </c>
      <c r="I610" t="s">
        <v>13</v>
      </c>
      <c r="J610" t="s">
        <v>2141</v>
      </c>
      <c r="K610" t="s">
        <v>28</v>
      </c>
      <c r="L610" s="1" t="str">
        <f t="shared" si="54"/>
        <v>2023</v>
      </c>
      <c r="M610" t="str">
        <f t="shared" si="55"/>
        <v>Oct</v>
      </c>
      <c r="N610" t="str">
        <f t="shared" si="56"/>
        <v>Tue</v>
      </c>
      <c r="O610" s="1">
        <f t="shared" si="57"/>
        <v>9</v>
      </c>
      <c r="P610" s="1">
        <f t="shared" si="58"/>
        <v>23</v>
      </c>
      <c r="Q610" s="1">
        <f>ROUND(G610*H610*VLOOKUP(D610,'Cost Product'!A$1:C$21,3,FALSE),0)</f>
        <v>12</v>
      </c>
      <c r="R610" s="1">
        <f t="shared" si="59"/>
        <v>11</v>
      </c>
    </row>
    <row r="611" spans="1:18" x14ac:dyDescent="0.25">
      <c r="A611" s="1" t="s">
        <v>1257</v>
      </c>
      <c r="B611" t="s">
        <v>1258</v>
      </c>
      <c r="C611" t="s">
        <v>26</v>
      </c>
      <c r="D611" t="s">
        <v>82</v>
      </c>
      <c r="E611" s="4">
        <v>45297</v>
      </c>
      <c r="F611" s="4">
        <v>45299</v>
      </c>
      <c r="G611" s="1">
        <v>5</v>
      </c>
      <c r="H611" s="1">
        <v>4.25</v>
      </c>
      <c r="I611" t="s">
        <v>13</v>
      </c>
      <c r="J611" t="s">
        <v>2143</v>
      </c>
      <c r="K611" t="s">
        <v>28</v>
      </c>
      <c r="L611" s="1" t="str">
        <f t="shared" si="54"/>
        <v>2024</v>
      </c>
      <c r="M611" t="str">
        <f t="shared" si="55"/>
        <v>Jan</v>
      </c>
      <c r="N611" t="str">
        <f t="shared" si="56"/>
        <v>Sat</v>
      </c>
      <c r="O611" s="1">
        <f t="shared" si="57"/>
        <v>2</v>
      </c>
      <c r="P611" s="1">
        <f t="shared" si="58"/>
        <v>21.25</v>
      </c>
      <c r="Q611" s="1">
        <f>ROUND(G611*H611*VLOOKUP(D611,'Cost Product'!A$1:C$21,3,FALSE),0)</f>
        <v>10</v>
      </c>
      <c r="R611" s="1">
        <f t="shared" si="59"/>
        <v>11.25</v>
      </c>
    </row>
    <row r="612" spans="1:18" x14ac:dyDescent="0.25">
      <c r="A612" s="1" t="s">
        <v>1259</v>
      </c>
      <c r="B612" t="s">
        <v>1260</v>
      </c>
      <c r="C612" t="s">
        <v>11</v>
      </c>
      <c r="D612" t="s">
        <v>12</v>
      </c>
      <c r="E612" s="4">
        <v>45165</v>
      </c>
      <c r="F612" s="4">
        <v>45171</v>
      </c>
      <c r="G612" s="1">
        <v>1</v>
      </c>
      <c r="H612" s="1">
        <v>6.5</v>
      </c>
      <c r="I612" t="s">
        <v>40</v>
      </c>
      <c r="J612" t="s">
        <v>2142</v>
      </c>
      <c r="K612" t="s">
        <v>14</v>
      </c>
      <c r="L612" s="1" t="str">
        <f t="shared" si="54"/>
        <v>2023</v>
      </c>
      <c r="M612" t="str">
        <f t="shared" si="55"/>
        <v>Aug</v>
      </c>
      <c r="N612" t="str">
        <f t="shared" si="56"/>
        <v>Sun</v>
      </c>
      <c r="O612" s="1">
        <f t="shared" si="57"/>
        <v>6</v>
      </c>
      <c r="P612" s="1">
        <f t="shared" si="58"/>
        <v>6.5</v>
      </c>
      <c r="Q612" s="1">
        <f>ROUND(G612*H612*VLOOKUP(D612,'Cost Product'!A$1:C$21,3,FALSE),0)</f>
        <v>4</v>
      </c>
      <c r="R612" s="1">
        <f t="shared" si="59"/>
        <v>2.5</v>
      </c>
    </row>
    <row r="613" spans="1:18" x14ac:dyDescent="0.25">
      <c r="A613" s="1" t="s">
        <v>1261</v>
      </c>
      <c r="B613" t="s">
        <v>1262</v>
      </c>
      <c r="C613" t="s">
        <v>22</v>
      </c>
      <c r="D613" t="s">
        <v>56</v>
      </c>
      <c r="E613" s="4">
        <v>45227</v>
      </c>
      <c r="F613" s="4">
        <v>45229</v>
      </c>
      <c r="G613" s="1">
        <v>3</v>
      </c>
      <c r="H613" s="1">
        <v>8.75</v>
      </c>
      <c r="I613" t="s">
        <v>13</v>
      </c>
      <c r="J613" t="s">
        <v>2146</v>
      </c>
      <c r="K613" t="s">
        <v>19</v>
      </c>
      <c r="L613" s="1" t="str">
        <f t="shared" si="54"/>
        <v>2023</v>
      </c>
      <c r="M613" t="str">
        <f t="shared" si="55"/>
        <v>Oct</v>
      </c>
      <c r="N613" t="str">
        <f t="shared" si="56"/>
        <v>Sat</v>
      </c>
      <c r="O613" s="1">
        <f t="shared" si="57"/>
        <v>2</v>
      </c>
      <c r="P613" s="1">
        <f t="shared" si="58"/>
        <v>26.25</v>
      </c>
      <c r="Q613" s="1">
        <f>ROUND(G613*H613*VLOOKUP(D613,'Cost Product'!A$1:C$21,3,FALSE),0)</f>
        <v>15</v>
      </c>
      <c r="R613" s="1">
        <f t="shared" si="59"/>
        <v>11.25</v>
      </c>
    </row>
    <row r="614" spans="1:18" x14ac:dyDescent="0.25">
      <c r="A614" s="1" t="s">
        <v>1263</v>
      </c>
      <c r="B614" t="s">
        <v>1264</v>
      </c>
      <c r="C614" t="s">
        <v>17</v>
      </c>
      <c r="D614" t="s">
        <v>79</v>
      </c>
      <c r="E614" s="4">
        <v>45335</v>
      </c>
      <c r="F614" s="4">
        <v>45336</v>
      </c>
      <c r="G614" s="1">
        <v>4</v>
      </c>
      <c r="H614" s="1">
        <v>5</v>
      </c>
      <c r="I614" t="s">
        <v>13</v>
      </c>
      <c r="J614" t="s">
        <v>2146</v>
      </c>
      <c r="K614" t="s">
        <v>19</v>
      </c>
      <c r="L614" s="1" t="str">
        <f t="shared" si="54"/>
        <v>2024</v>
      </c>
      <c r="M614" t="str">
        <f t="shared" si="55"/>
        <v>Feb</v>
      </c>
      <c r="N614" t="str">
        <f t="shared" si="56"/>
        <v>Tue</v>
      </c>
      <c r="O614" s="1">
        <f t="shared" si="57"/>
        <v>1</v>
      </c>
      <c r="P614" s="1">
        <f t="shared" si="58"/>
        <v>20</v>
      </c>
      <c r="Q614" s="1">
        <f>ROUND(G614*H614*VLOOKUP(D614,'Cost Product'!A$1:C$21,3,FALSE),0)</f>
        <v>11</v>
      </c>
      <c r="R614" s="1">
        <f t="shared" si="59"/>
        <v>9</v>
      </c>
    </row>
    <row r="615" spans="1:18" x14ac:dyDescent="0.25">
      <c r="A615" s="1" t="s">
        <v>1265</v>
      </c>
      <c r="B615" t="s">
        <v>1266</v>
      </c>
      <c r="C615" t="s">
        <v>22</v>
      </c>
      <c r="D615" t="s">
        <v>23</v>
      </c>
      <c r="E615" s="4">
        <v>45253</v>
      </c>
      <c r="F615" s="4">
        <v>45254</v>
      </c>
      <c r="G615" s="1">
        <v>5</v>
      </c>
      <c r="H615" s="1">
        <v>10</v>
      </c>
      <c r="I615" t="s">
        <v>13</v>
      </c>
      <c r="J615" t="s">
        <v>2141</v>
      </c>
      <c r="K615" t="s">
        <v>28</v>
      </c>
      <c r="L615" s="1" t="str">
        <f t="shared" si="54"/>
        <v>2023</v>
      </c>
      <c r="M615" t="str">
        <f t="shared" si="55"/>
        <v>Nov</v>
      </c>
      <c r="N615" t="str">
        <f t="shared" si="56"/>
        <v>Thu</v>
      </c>
      <c r="O615" s="1">
        <f t="shared" si="57"/>
        <v>1</v>
      </c>
      <c r="P615" s="1">
        <f t="shared" si="58"/>
        <v>50</v>
      </c>
      <c r="Q615" s="1">
        <f>ROUND(G615*H615*VLOOKUP(D615,'Cost Product'!A$1:C$21,3,FALSE),0)</f>
        <v>33</v>
      </c>
      <c r="R615" s="1">
        <f t="shared" si="59"/>
        <v>17</v>
      </c>
    </row>
    <row r="616" spans="1:18" x14ac:dyDescent="0.25">
      <c r="A616" s="1" t="s">
        <v>1267</v>
      </c>
      <c r="B616" t="s">
        <v>1268</v>
      </c>
      <c r="C616" t="s">
        <v>65</v>
      </c>
      <c r="D616" t="s">
        <v>115</v>
      </c>
      <c r="E616" s="4">
        <v>45148</v>
      </c>
      <c r="F616" s="4">
        <v>45151</v>
      </c>
      <c r="G616" s="1">
        <v>2</v>
      </c>
      <c r="H616" s="1">
        <v>3</v>
      </c>
      <c r="I616" t="s">
        <v>13</v>
      </c>
      <c r="J616" t="s">
        <v>2142</v>
      </c>
      <c r="K616" t="s">
        <v>19</v>
      </c>
      <c r="L616" s="1" t="str">
        <f t="shared" si="54"/>
        <v>2023</v>
      </c>
      <c r="M616" t="str">
        <f t="shared" si="55"/>
        <v>Aug</v>
      </c>
      <c r="N616" t="str">
        <f t="shared" si="56"/>
        <v>Thu</v>
      </c>
      <c r="O616" s="1">
        <f t="shared" si="57"/>
        <v>3</v>
      </c>
      <c r="P616" s="1">
        <f t="shared" si="58"/>
        <v>6</v>
      </c>
      <c r="Q616" s="1">
        <f>ROUND(G616*H616*VLOOKUP(D616,'Cost Product'!A$1:C$21,3,FALSE),0)</f>
        <v>3</v>
      </c>
      <c r="R616" s="1">
        <f t="shared" si="59"/>
        <v>3</v>
      </c>
    </row>
    <row r="617" spans="1:18" x14ac:dyDescent="0.25">
      <c r="A617" s="1" t="s">
        <v>1269</v>
      </c>
      <c r="B617" t="s">
        <v>1270</v>
      </c>
      <c r="C617" t="s">
        <v>22</v>
      </c>
      <c r="D617" t="s">
        <v>23</v>
      </c>
      <c r="E617" s="4">
        <v>45281</v>
      </c>
      <c r="F617" s="4">
        <v>45283</v>
      </c>
      <c r="G617" s="1">
        <v>2</v>
      </c>
      <c r="H617" s="1">
        <v>10</v>
      </c>
      <c r="I617" t="s">
        <v>13</v>
      </c>
      <c r="J617" t="s">
        <v>2143</v>
      </c>
      <c r="K617" t="s">
        <v>19</v>
      </c>
      <c r="L617" s="1" t="str">
        <f t="shared" si="54"/>
        <v>2023</v>
      </c>
      <c r="M617" t="str">
        <f t="shared" si="55"/>
        <v>Dec</v>
      </c>
      <c r="N617" t="str">
        <f t="shared" si="56"/>
        <v>Thu</v>
      </c>
      <c r="O617" s="1">
        <f t="shared" si="57"/>
        <v>2</v>
      </c>
      <c r="P617" s="1">
        <f t="shared" si="58"/>
        <v>20</v>
      </c>
      <c r="Q617" s="1">
        <f>ROUND(G617*H617*VLOOKUP(D617,'Cost Product'!A$1:C$21,3,FALSE),0)</f>
        <v>13</v>
      </c>
      <c r="R617" s="1">
        <f t="shared" si="59"/>
        <v>7</v>
      </c>
    </row>
    <row r="618" spans="1:18" x14ac:dyDescent="0.25">
      <c r="A618" s="1" t="s">
        <v>1271</v>
      </c>
      <c r="B618" t="s">
        <v>1272</v>
      </c>
      <c r="C618" t="s">
        <v>65</v>
      </c>
      <c r="D618" t="s">
        <v>120</v>
      </c>
      <c r="E618" s="4">
        <v>45266</v>
      </c>
      <c r="F618" s="4">
        <v>45268</v>
      </c>
      <c r="G618" s="1">
        <v>3</v>
      </c>
      <c r="H618" s="1">
        <v>3.75</v>
      </c>
      <c r="I618" t="s">
        <v>13</v>
      </c>
      <c r="J618" t="s">
        <v>2142</v>
      </c>
      <c r="K618" t="s">
        <v>19</v>
      </c>
      <c r="L618" s="1" t="str">
        <f t="shared" si="54"/>
        <v>2023</v>
      </c>
      <c r="M618" t="str">
        <f t="shared" si="55"/>
        <v>Dec</v>
      </c>
      <c r="N618" t="str">
        <f t="shared" si="56"/>
        <v>Wed</v>
      </c>
      <c r="O618" s="1">
        <f t="shared" si="57"/>
        <v>2</v>
      </c>
      <c r="P618" s="1">
        <f t="shared" si="58"/>
        <v>11.25</v>
      </c>
      <c r="Q618" s="1">
        <f>ROUND(G618*H618*VLOOKUP(D618,'Cost Product'!A$1:C$21,3,FALSE),0)</f>
        <v>6</v>
      </c>
      <c r="R618" s="1">
        <f t="shared" si="59"/>
        <v>5.25</v>
      </c>
    </row>
    <row r="619" spans="1:18" x14ac:dyDescent="0.25">
      <c r="A619" s="1" t="s">
        <v>1273</v>
      </c>
      <c r="B619" t="s">
        <v>1274</v>
      </c>
      <c r="C619" t="s">
        <v>22</v>
      </c>
      <c r="D619" t="s">
        <v>56</v>
      </c>
      <c r="E619" s="4">
        <v>45584</v>
      </c>
      <c r="F619" s="4">
        <v>45591</v>
      </c>
      <c r="G619" s="1">
        <v>1</v>
      </c>
      <c r="H619" s="1">
        <v>8.75</v>
      </c>
      <c r="I619" t="s">
        <v>40</v>
      </c>
      <c r="J619" t="s">
        <v>2144</v>
      </c>
      <c r="K619" t="s">
        <v>19</v>
      </c>
      <c r="L619" s="1" t="str">
        <f t="shared" si="54"/>
        <v>2024</v>
      </c>
      <c r="M619" t="str">
        <f t="shared" si="55"/>
        <v>Oct</v>
      </c>
      <c r="N619" t="str">
        <f t="shared" si="56"/>
        <v>Sat</v>
      </c>
      <c r="O619" s="1">
        <f t="shared" si="57"/>
        <v>7</v>
      </c>
      <c r="P619" s="1">
        <f t="shared" si="58"/>
        <v>8.75</v>
      </c>
      <c r="Q619" s="1">
        <f>ROUND(G619*H619*VLOOKUP(D619,'Cost Product'!A$1:C$21,3,FALSE),0)</f>
        <v>5</v>
      </c>
      <c r="R619" s="1">
        <f t="shared" si="59"/>
        <v>3.75</v>
      </c>
    </row>
    <row r="620" spans="1:18" x14ac:dyDescent="0.25">
      <c r="A620" s="1" t="s">
        <v>1275</v>
      </c>
      <c r="B620" t="s">
        <v>1276</v>
      </c>
      <c r="C620" t="s">
        <v>11</v>
      </c>
      <c r="D620" t="s">
        <v>39</v>
      </c>
      <c r="E620" s="4">
        <v>45351</v>
      </c>
      <c r="F620" s="4">
        <v>45352</v>
      </c>
      <c r="G620" s="1">
        <v>3</v>
      </c>
      <c r="H620" s="1">
        <v>5.75</v>
      </c>
      <c r="I620" t="s">
        <v>13</v>
      </c>
      <c r="J620" t="s">
        <v>2142</v>
      </c>
      <c r="K620" t="s">
        <v>19</v>
      </c>
      <c r="L620" s="1" t="str">
        <f t="shared" si="54"/>
        <v>2024</v>
      </c>
      <c r="M620" t="str">
        <f t="shared" si="55"/>
        <v>Feb</v>
      </c>
      <c r="N620" t="str">
        <f t="shared" si="56"/>
        <v>Thu</v>
      </c>
      <c r="O620" s="1">
        <f t="shared" si="57"/>
        <v>1</v>
      </c>
      <c r="P620" s="1">
        <f t="shared" si="58"/>
        <v>17.25</v>
      </c>
      <c r="Q620" s="1">
        <f>ROUND(G620*H620*VLOOKUP(D620,'Cost Product'!A$1:C$21,3,FALSE),0)</f>
        <v>9</v>
      </c>
      <c r="R620" s="1">
        <f t="shared" si="59"/>
        <v>8.25</v>
      </c>
    </row>
    <row r="621" spans="1:18" x14ac:dyDescent="0.25">
      <c r="A621" s="1" t="s">
        <v>1277</v>
      </c>
      <c r="B621" t="s">
        <v>1278</v>
      </c>
      <c r="C621" t="s">
        <v>22</v>
      </c>
      <c r="D621" t="s">
        <v>56</v>
      </c>
      <c r="E621" s="4">
        <v>45179</v>
      </c>
      <c r="F621" s="4">
        <v>45180</v>
      </c>
      <c r="G621" s="1">
        <v>1</v>
      </c>
      <c r="H621" s="1">
        <v>8.75</v>
      </c>
      <c r="I621" t="s">
        <v>13</v>
      </c>
      <c r="J621" t="s">
        <v>2141</v>
      </c>
      <c r="K621" t="s">
        <v>28</v>
      </c>
      <c r="L621" s="1" t="str">
        <f t="shared" si="54"/>
        <v>2023</v>
      </c>
      <c r="M621" t="str">
        <f t="shared" si="55"/>
        <v>Sep</v>
      </c>
      <c r="N621" t="str">
        <f t="shared" si="56"/>
        <v>Sun</v>
      </c>
      <c r="O621" s="1">
        <f t="shared" si="57"/>
        <v>1</v>
      </c>
      <c r="P621" s="1">
        <f t="shared" si="58"/>
        <v>8.75</v>
      </c>
      <c r="Q621" s="1">
        <f>ROUND(G621*H621*VLOOKUP(D621,'Cost Product'!A$1:C$21,3,FALSE),0)</f>
        <v>5</v>
      </c>
      <c r="R621" s="1">
        <f t="shared" si="59"/>
        <v>3.75</v>
      </c>
    </row>
    <row r="622" spans="1:18" x14ac:dyDescent="0.25">
      <c r="A622" s="1" t="s">
        <v>1279</v>
      </c>
      <c r="B622" t="s">
        <v>1280</v>
      </c>
      <c r="C622" t="s">
        <v>65</v>
      </c>
      <c r="D622" t="s">
        <v>115</v>
      </c>
      <c r="E622" s="4">
        <v>45279</v>
      </c>
      <c r="F622" s="4">
        <v>45288</v>
      </c>
      <c r="G622" s="1">
        <v>1</v>
      </c>
      <c r="H622" s="1">
        <v>3</v>
      </c>
      <c r="I622" t="s">
        <v>13</v>
      </c>
      <c r="J622" t="s">
        <v>2144</v>
      </c>
      <c r="K622" t="s">
        <v>19</v>
      </c>
      <c r="L622" s="1" t="str">
        <f t="shared" si="54"/>
        <v>2023</v>
      </c>
      <c r="M622" t="str">
        <f t="shared" si="55"/>
        <v>Dec</v>
      </c>
      <c r="N622" t="str">
        <f t="shared" si="56"/>
        <v>Tue</v>
      </c>
      <c r="O622" s="1">
        <f t="shared" si="57"/>
        <v>9</v>
      </c>
      <c r="P622" s="1">
        <f t="shared" si="58"/>
        <v>3</v>
      </c>
      <c r="Q622" s="1">
        <f>ROUND(G622*H622*VLOOKUP(D622,'Cost Product'!A$1:C$21,3,FALSE),0)</f>
        <v>1</v>
      </c>
      <c r="R622" s="1">
        <f t="shared" si="59"/>
        <v>2</v>
      </c>
    </row>
    <row r="623" spans="1:18" x14ac:dyDescent="0.25">
      <c r="A623" s="1" t="s">
        <v>1281</v>
      </c>
      <c r="B623" t="s">
        <v>1282</v>
      </c>
      <c r="C623" t="s">
        <v>22</v>
      </c>
      <c r="D623" t="s">
        <v>59</v>
      </c>
      <c r="E623" s="4">
        <v>45316</v>
      </c>
      <c r="F623" s="4">
        <v>45320</v>
      </c>
      <c r="G623" s="1">
        <v>2</v>
      </c>
      <c r="H623" s="1">
        <v>8.5</v>
      </c>
      <c r="I623" t="s">
        <v>40</v>
      </c>
      <c r="J623" t="s">
        <v>2143</v>
      </c>
      <c r="K623" t="s">
        <v>14</v>
      </c>
      <c r="L623" s="1" t="str">
        <f t="shared" si="54"/>
        <v>2024</v>
      </c>
      <c r="M623" t="str">
        <f t="shared" si="55"/>
        <v>Jan</v>
      </c>
      <c r="N623" t="str">
        <f t="shared" si="56"/>
        <v>Thu</v>
      </c>
      <c r="O623" s="1">
        <f t="shared" si="57"/>
        <v>4</v>
      </c>
      <c r="P623" s="1">
        <f t="shared" si="58"/>
        <v>17</v>
      </c>
      <c r="Q623" s="1">
        <f>ROUND(G623*H623*VLOOKUP(D623,'Cost Product'!A$1:C$21,3,FALSE),0)</f>
        <v>10</v>
      </c>
      <c r="R623" s="1">
        <f t="shared" si="59"/>
        <v>7</v>
      </c>
    </row>
    <row r="624" spans="1:18" x14ac:dyDescent="0.25">
      <c r="A624" s="1" t="s">
        <v>1283</v>
      </c>
      <c r="B624" t="s">
        <v>1284</v>
      </c>
      <c r="C624" t="s">
        <v>65</v>
      </c>
      <c r="D624" t="s">
        <v>115</v>
      </c>
      <c r="E624" s="4">
        <v>45126</v>
      </c>
      <c r="F624" s="4">
        <v>45127</v>
      </c>
      <c r="G624" s="1">
        <v>1</v>
      </c>
      <c r="H624" s="1">
        <v>3</v>
      </c>
      <c r="I624" t="s">
        <v>13</v>
      </c>
      <c r="J624" t="s">
        <v>2141</v>
      </c>
      <c r="K624" t="s">
        <v>19</v>
      </c>
      <c r="L624" s="1" t="str">
        <f t="shared" si="54"/>
        <v>2023</v>
      </c>
      <c r="M624" t="str">
        <f t="shared" si="55"/>
        <v>Jul</v>
      </c>
      <c r="N624" t="str">
        <f t="shared" si="56"/>
        <v>Wed</v>
      </c>
      <c r="O624" s="1">
        <f t="shared" si="57"/>
        <v>1</v>
      </c>
      <c r="P624" s="1">
        <f t="shared" si="58"/>
        <v>3</v>
      </c>
      <c r="Q624" s="1">
        <f>ROUND(G624*H624*VLOOKUP(D624,'Cost Product'!A$1:C$21,3,FALSE),0)</f>
        <v>1</v>
      </c>
      <c r="R624" s="1">
        <f t="shared" si="59"/>
        <v>2</v>
      </c>
    </row>
    <row r="625" spans="1:18" x14ac:dyDescent="0.25">
      <c r="A625" s="1" t="s">
        <v>1285</v>
      </c>
      <c r="B625" t="s">
        <v>1286</v>
      </c>
      <c r="C625" t="s">
        <v>17</v>
      </c>
      <c r="D625" t="s">
        <v>79</v>
      </c>
      <c r="E625" s="4">
        <v>45375</v>
      </c>
      <c r="F625" s="4">
        <v>45377</v>
      </c>
      <c r="G625" s="1">
        <v>3</v>
      </c>
      <c r="H625" s="1">
        <v>5</v>
      </c>
      <c r="I625" t="s">
        <v>13</v>
      </c>
      <c r="J625" t="s">
        <v>2144</v>
      </c>
      <c r="K625" t="s">
        <v>19</v>
      </c>
      <c r="L625" s="1" t="str">
        <f t="shared" si="54"/>
        <v>2024</v>
      </c>
      <c r="M625" t="str">
        <f t="shared" si="55"/>
        <v>Mar</v>
      </c>
      <c r="N625" t="str">
        <f t="shared" si="56"/>
        <v>Sun</v>
      </c>
      <c r="O625" s="1">
        <f t="shared" si="57"/>
        <v>2</v>
      </c>
      <c r="P625" s="1">
        <f t="shared" si="58"/>
        <v>15</v>
      </c>
      <c r="Q625" s="1">
        <f>ROUND(G625*H625*VLOOKUP(D625,'Cost Product'!A$1:C$21,3,FALSE),0)</f>
        <v>8</v>
      </c>
      <c r="R625" s="1">
        <f t="shared" si="59"/>
        <v>7</v>
      </c>
    </row>
    <row r="626" spans="1:18" x14ac:dyDescent="0.25">
      <c r="A626" s="1" t="s">
        <v>1287</v>
      </c>
      <c r="B626" t="s">
        <v>1288</v>
      </c>
      <c r="C626" t="s">
        <v>22</v>
      </c>
      <c r="D626" t="s">
        <v>59</v>
      </c>
      <c r="E626" s="4">
        <v>45166</v>
      </c>
      <c r="F626" s="4">
        <v>45169</v>
      </c>
      <c r="G626" s="1">
        <v>2</v>
      </c>
      <c r="H626" s="1">
        <v>8.5</v>
      </c>
      <c r="I626" t="s">
        <v>40</v>
      </c>
      <c r="J626" t="s">
        <v>2142</v>
      </c>
      <c r="K626" t="s">
        <v>14</v>
      </c>
      <c r="L626" s="1" t="str">
        <f t="shared" si="54"/>
        <v>2023</v>
      </c>
      <c r="M626" t="str">
        <f t="shared" si="55"/>
        <v>Aug</v>
      </c>
      <c r="N626" t="str">
        <f t="shared" si="56"/>
        <v>Mon</v>
      </c>
      <c r="O626" s="1">
        <f t="shared" si="57"/>
        <v>3</v>
      </c>
      <c r="P626" s="1">
        <f t="shared" si="58"/>
        <v>17</v>
      </c>
      <c r="Q626" s="1">
        <f>ROUND(G626*H626*VLOOKUP(D626,'Cost Product'!A$1:C$21,3,FALSE),0)</f>
        <v>10</v>
      </c>
      <c r="R626" s="1">
        <f t="shared" si="59"/>
        <v>7</v>
      </c>
    </row>
    <row r="627" spans="1:18" x14ac:dyDescent="0.25">
      <c r="A627" s="1" t="s">
        <v>1289</v>
      </c>
      <c r="B627" t="s">
        <v>1290</v>
      </c>
      <c r="C627" t="s">
        <v>17</v>
      </c>
      <c r="D627" t="s">
        <v>53</v>
      </c>
      <c r="E627" s="4">
        <v>45241</v>
      </c>
      <c r="F627" s="4">
        <v>45245</v>
      </c>
      <c r="G627" s="1">
        <v>4</v>
      </c>
      <c r="H627" s="1">
        <v>4.75</v>
      </c>
      <c r="I627" t="s">
        <v>40</v>
      </c>
      <c r="J627" t="s">
        <v>2141</v>
      </c>
      <c r="K627" t="s">
        <v>28</v>
      </c>
      <c r="L627" s="1" t="str">
        <f t="shared" si="54"/>
        <v>2023</v>
      </c>
      <c r="M627" t="str">
        <f t="shared" si="55"/>
        <v>Nov</v>
      </c>
      <c r="N627" t="str">
        <f t="shared" si="56"/>
        <v>Sat</v>
      </c>
      <c r="O627" s="1">
        <f t="shared" si="57"/>
        <v>4</v>
      </c>
      <c r="P627" s="1">
        <f t="shared" si="58"/>
        <v>19</v>
      </c>
      <c r="Q627" s="1">
        <f>ROUND(G627*H627*VLOOKUP(D627,'Cost Product'!A$1:C$21,3,FALSE),0)</f>
        <v>10</v>
      </c>
      <c r="R627" s="1">
        <f t="shared" si="59"/>
        <v>9</v>
      </c>
    </row>
    <row r="628" spans="1:18" x14ac:dyDescent="0.25">
      <c r="A628" s="1" t="s">
        <v>1291</v>
      </c>
      <c r="B628" t="s">
        <v>1292</v>
      </c>
      <c r="C628" t="s">
        <v>22</v>
      </c>
      <c r="D628" t="s">
        <v>23</v>
      </c>
      <c r="E628" s="4">
        <v>45236</v>
      </c>
      <c r="F628" s="4">
        <v>45248</v>
      </c>
      <c r="G628" s="1">
        <v>3</v>
      </c>
      <c r="H628" s="1">
        <v>10</v>
      </c>
      <c r="I628" t="s">
        <v>13</v>
      </c>
      <c r="J628" t="s">
        <v>2142</v>
      </c>
      <c r="K628" t="s">
        <v>14</v>
      </c>
      <c r="L628" s="1" t="str">
        <f t="shared" si="54"/>
        <v>2023</v>
      </c>
      <c r="M628" t="str">
        <f t="shared" si="55"/>
        <v>Nov</v>
      </c>
      <c r="N628" t="str">
        <f t="shared" si="56"/>
        <v>Mon</v>
      </c>
      <c r="O628" s="1">
        <f t="shared" si="57"/>
        <v>12</v>
      </c>
      <c r="P628" s="1">
        <f t="shared" si="58"/>
        <v>30</v>
      </c>
      <c r="Q628" s="1">
        <f>ROUND(G628*H628*VLOOKUP(D628,'Cost Product'!A$1:C$21,3,FALSE),0)</f>
        <v>20</v>
      </c>
      <c r="R628" s="1">
        <f t="shared" si="59"/>
        <v>10</v>
      </c>
    </row>
    <row r="629" spans="1:18" x14ac:dyDescent="0.25">
      <c r="A629" s="1" t="s">
        <v>1293</v>
      </c>
      <c r="B629" t="s">
        <v>1294</v>
      </c>
      <c r="C629" t="s">
        <v>11</v>
      </c>
      <c r="D629" t="s">
        <v>39</v>
      </c>
      <c r="E629" s="4">
        <v>45191</v>
      </c>
      <c r="F629" s="4">
        <v>45200</v>
      </c>
      <c r="G629" s="1">
        <v>4</v>
      </c>
      <c r="H629" s="1">
        <v>5.75</v>
      </c>
      <c r="I629" t="s">
        <v>13</v>
      </c>
      <c r="J629" t="s">
        <v>2144</v>
      </c>
      <c r="K629" t="s">
        <v>19</v>
      </c>
      <c r="L629" s="1" t="str">
        <f t="shared" si="54"/>
        <v>2023</v>
      </c>
      <c r="M629" t="str">
        <f t="shared" si="55"/>
        <v>Sep</v>
      </c>
      <c r="N629" t="str">
        <f t="shared" si="56"/>
        <v>Fri</v>
      </c>
      <c r="O629" s="1">
        <f t="shared" si="57"/>
        <v>9</v>
      </c>
      <c r="P629" s="1">
        <f t="shared" si="58"/>
        <v>23</v>
      </c>
      <c r="Q629" s="1">
        <f>ROUND(G629*H629*VLOOKUP(D629,'Cost Product'!A$1:C$21,3,FALSE),0)</f>
        <v>12</v>
      </c>
      <c r="R629" s="1">
        <f t="shared" si="59"/>
        <v>11</v>
      </c>
    </row>
    <row r="630" spans="1:18" x14ac:dyDescent="0.25">
      <c r="A630" s="1" t="s">
        <v>1295</v>
      </c>
      <c r="B630" t="s">
        <v>1296</v>
      </c>
      <c r="C630" t="s">
        <v>65</v>
      </c>
      <c r="D630" t="s">
        <v>99</v>
      </c>
      <c r="E630" s="4">
        <v>45188</v>
      </c>
      <c r="F630" s="4">
        <v>45190</v>
      </c>
      <c r="G630" s="1">
        <v>1</v>
      </c>
      <c r="H630" s="1">
        <v>4</v>
      </c>
      <c r="I630" t="s">
        <v>13</v>
      </c>
      <c r="J630" t="s">
        <v>2141</v>
      </c>
      <c r="K630" t="s">
        <v>14</v>
      </c>
      <c r="L630" s="1" t="str">
        <f t="shared" si="54"/>
        <v>2023</v>
      </c>
      <c r="M630" t="str">
        <f t="shared" si="55"/>
        <v>Sep</v>
      </c>
      <c r="N630" t="str">
        <f t="shared" si="56"/>
        <v>Tue</v>
      </c>
      <c r="O630" s="1">
        <f t="shared" si="57"/>
        <v>2</v>
      </c>
      <c r="P630" s="1">
        <f t="shared" si="58"/>
        <v>4</v>
      </c>
      <c r="Q630" s="1">
        <f>ROUND(G630*H630*VLOOKUP(D630,'Cost Product'!A$1:C$21,3,FALSE),0)</f>
        <v>2</v>
      </c>
      <c r="R630" s="1">
        <f t="shared" si="59"/>
        <v>2</v>
      </c>
    </row>
    <row r="631" spans="1:18" x14ac:dyDescent="0.25">
      <c r="A631" s="1" t="s">
        <v>1297</v>
      </c>
      <c r="B631" t="s">
        <v>1298</v>
      </c>
      <c r="C631" t="s">
        <v>22</v>
      </c>
      <c r="D631" t="s">
        <v>59</v>
      </c>
      <c r="E631" s="4">
        <v>45222</v>
      </c>
      <c r="F631" s="4">
        <v>45224</v>
      </c>
      <c r="G631" s="1">
        <v>4</v>
      </c>
      <c r="H631" s="1">
        <v>8.5</v>
      </c>
      <c r="I631" t="s">
        <v>40</v>
      </c>
      <c r="J631" t="s">
        <v>2141</v>
      </c>
      <c r="K631" t="s">
        <v>19</v>
      </c>
      <c r="L631" s="1" t="str">
        <f t="shared" si="54"/>
        <v>2023</v>
      </c>
      <c r="M631" t="str">
        <f t="shared" si="55"/>
        <v>Oct</v>
      </c>
      <c r="N631" t="str">
        <f t="shared" si="56"/>
        <v>Mon</v>
      </c>
      <c r="O631" s="1">
        <f t="shared" si="57"/>
        <v>2</v>
      </c>
      <c r="P631" s="1">
        <f t="shared" si="58"/>
        <v>34</v>
      </c>
      <c r="Q631" s="1">
        <f>ROUND(G631*H631*VLOOKUP(D631,'Cost Product'!A$1:C$21,3,FALSE),0)</f>
        <v>20</v>
      </c>
      <c r="R631" s="1">
        <f t="shared" si="59"/>
        <v>14</v>
      </c>
    </row>
    <row r="632" spans="1:18" x14ac:dyDescent="0.25">
      <c r="A632" s="1" t="s">
        <v>1299</v>
      </c>
      <c r="B632" t="s">
        <v>1300</v>
      </c>
      <c r="C632" t="s">
        <v>22</v>
      </c>
      <c r="D632" t="s">
        <v>62</v>
      </c>
      <c r="E632" s="4">
        <v>45282</v>
      </c>
      <c r="F632" s="4">
        <v>45285</v>
      </c>
      <c r="G632" s="1">
        <v>4</v>
      </c>
      <c r="H632" s="1">
        <v>8</v>
      </c>
      <c r="I632" t="s">
        <v>40</v>
      </c>
      <c r="J632" t="s">
        <v>2144</v>
      </c>
      <c r="K632" t="s">
        <v>28</v>
      </c>
      <c r="L632" s="1" t="str">
        <f t="shared" si="54"/>
        <v>2023</v>
      </c>
      <c r="M632" t="str">
        <f t="shared" si="55"/>
        <v>Dec</v>
      </c>
      <c r="N632" t="str">
        <f t="shared" si="56"/>
        <v>Fri</v>
      </c>
      <c r="O632" s="1">
        <f t="shared" si="57"/>
        <v>3</v>
      </c>
      <c r="P632" s="1">
        <f t="shared" si="58"/>
        <v>32</v>
      </c>
      <c r="Q632" s="1">
        <f>ROUND(G632*H632*VLOOKUP(D632,'Cost Product'!A$1:C$21,3,FALSE),0)</f>
        <v>19</v>
      </c>
      <c r="R632" s="1">
        <f t="shared" si="59"/>
        <v>13</v>
      </c>
    </row>
    <row r="633" spans="1:18" x14ac:dyDescent="0.25">
      <c r="A633" s="1" t="s">
        <v>1301</v>
      </c>
      <c r="B633" t="s">
        <v>1302</v>
      </c>
      <c r="C633" t="s">
        <v>65</v>
      </c>
      <c r="D633" t="s">
        <v>66</v>
      </c>
      <c r="E633" s="4">
        <v>45362</v>
      </c>
      <c r="F633" s="4">
        <v>45364</v>
      </c>
      <c r="G633" s="1">
        <v>5</v>
      </c>
      <c r="H633" s="1">
        <v>3.5</v>
      </c>
      <c r="I633" t="s">
        <v>13</v>
      </c>
      <c r="J633" t="s">
        <v>2142</v>
      </c>
      <c r="K633" t="s">
        <v>28</v>
      </c>
      <c r="L633" s="1" t="str">
        <f t="shared" si="54"/>
        <v>2024</v>
      </c>
      <c r="M633" t="str">
        <f t="shared" si="55"/>
        <v>Mar</v>
      </c>
      <c r="N633" t="str">
        <f t="shared" si="56"/>
        <v>Mon</v>
      </c>
      <c r="O633" s="1">
        <f t="shared" si="57"/>
        <v>2</v>
      </c>
      <c r="P633" s="1">
        <f t="shared" si="58"/>
        <v>17.5</v>
      </c>
      <c r="Q633" s="1">
        <f>ROUND(G633*H633*VLOOKUP(D633,'Cost Product'!A$1:C$21,3,FALSE),0)</f>
        <v>8</v>
      </c>
      <c r="R633" s="1">
        <f t="shared" si="59"/>
        <v>9.5</v>
      </c>
    </row>
    <row r="634" spans="1:18" x14ac:dyDescent="0.25">
      <c r="A634" s="1" t="s">
        <v>1303</v>
      </c>
      <c r="B634" t="s">
        <v>1304</v>
      </c>
      <c r="C634" t="s">
        <v>11</v>
      </c>
      <c r="D634" t="s">
        <v>31</v>
      </c>
      <c r="E634" s="4">
        <v>45495</v>
      </c>
      <c r="F634" s="4">
        <v>45496</v>
      </c>
      <c r="G634" s="1">
        <v>2</v>
      </c>
      <c r="H634" s="1">
        <v>5.5</v>
      </c>
      <c r="I634" t="s">
        <v>13</v>
      </c>
      <c r="J634" t="s">
        <v>2142</v>
      </c>
      <c r="K634" t="s">
        <v>14</v>
      </c>
      <c r="L634" s="1" t="str">
        <f t="shared" si="54"/>
        <v>2024</v>
      </c>
      <c r="M634" t="str">
        <f t="shared" si="55"/>
        <v>Jul</v>
      </c>
      <c r="N634" t="str">
        <f t="shared" si="56"/>
        <v>Mon</v>
      </c>
      <c r="O634" s="1">
        <f t="shared" si="57"/>
        <v>1</v>
      </c>
      <c r="P634" s="1">
        <f t="shared" si="58"/>
        <v>11</v>
      </c>
      <c r="Q634" s="1">
        <f>ROUND(G634*H634*VLOOKUP(D634,'Cost Product'!A$1:C$21,3,FALSE),0)</f>
        <v>6</v>
      </c>
      <c r="R634" s="1">
        <f t="shared" si="59"/>
        <v>5</v>
      </c>
    </row>
    <row r="635" spans="1:18" x14ac:dyDescent="0.25">
      <c r="A635" s="1" t="s">
        <v>1305</v>
      </c>
      <c r="B635" t="s">
        <v>1306</v>
      </c>
      <c r="C635" t="s">
        <v>11</v>
      </c>
      <c r="D635" t="s">
        <v>31</v>
      </c>
      <c r="E635" s="4">
        <v>45394</v>
      </c>
      <c r="F635" s="4">
        <v>45395</v>
      </c>
      <c r="G635" s="1">
        <v>5</v>
      </c>
      <c r="H635" s="1">
        <v>5.5</v>
      </c>
      <c r="I635" t="s">
        <v>40</v>
      </c>
      <c r="J635" t="s">
        <v>2141</v>
      </c>
      <c r="K635" t="s">
        <v>14</v>
      </c>
      <c r="L635" s="1" t="str">
        <f t="shared" si="54"/>
        <v>2024</v>
      </c>
      <c r="M635" t="str">
        <f t="shared" si="55"/>
        <v>Apr</v>
      </c>
      <c r="N635" t="str">
        <f t="shared" si="56"/>
        <v>Fri</v>
      </c>
      <c r="O635" s="1">
        <f t="shared" si="57"/>
        <v>1</v>
      </c>
      <c r="P635" s="1">
        <f t="shared" si="58"/>
        <v>27.5</v>
      </c>
      <c r="Q635" s="1">
        <f>ROUND(G635*H635*VLOOKUP(D635,'Cost Product'!A$1:C$21,3,FALSE),0)</f>
        <v>14</v>
      </c>
      <c r="R635" s="1">
        <f t="shared" si="59"/>
        <v>13.5</v>
      </c>
    </row>
    <row r="636" spans="1:18" x14ac:dyDescent="0.25">
      <c r="A636" s="1" t="s">
        <v>1307</v>
      </c>
      <c r="B636" t="s">
        <v>1308</v>
      </c>
      <c r="C636" t="s">
        <v>22</v>
      </c>
      <c r="D636" t="s">
        <v>59</v>
      </c>
      <c r="E636" s="4">
        <v>45567</v>
      </c>
      <c r="F636" s="4">
        <v>45573</v>
      </c>
      <c r="G636" s="1">
        <v>2</v>
      </c>
      <c r="H636" s="1">
        <v>8.5</v>
      </c>
      <c r="I636" t="s">
        <v>13</v>
      </c>
      <c r="J636" t="s">
        <v>2142</v>
      </c>
      <c r="K636" t="s">
        <v>28</v>
      </c>
      <c r="L636" s="1" t="str">
        <f t="shared" si="54"/>
        <v>2024</v>
      </c>
      <c r="M636" t="str">
        <f t="shared" si="55"/>
        <v>Oct</v>
      </c>
      <c r="N636" t="str">
        <f t="shared" si="56"/>
        <v>Wed</v>
      </c>
      <c r="O636" s="1">
        <f t="shared" si="57"/>
        <v>6</v>
      </c>
      <c r="P636" s="1">
        <f t="shared" si="58"/>
        <v>17</v>
      </c>
      <c r="Q636" s="1">
        <f>ROUND(G636*H636*VLOOKUP(D636,'Cost Product'!A$1:C$21,3,FALSE),0)</f>
        <v>10</v>
      </c>
      <c r="R636" s="1">
        <f t="shared" si="59"/>
        <v>7</v>
      </c>
    </row>
    <row r="637" spans="1:18" x14ac:dyDescent="0.25">
      <c r="A637" s="1" t="s">
        <v>1309</v>
      </c>
      <c r="B637" t="s">
        <v>1310</v>
      </c>
      <c r="C637" t="s">
        <v>22</v>
      </c>
      <c r="D637" t="s">
        <v>56</v>
      </c>
      <c r="E637" s="4">
        <v>45227</v>
      </c>
      <c r="F637" s="4">
        <v>45230</v>
      </c>
      <c r="G637" s="1">
        <v>1</v>
      </c>
      <c r="H637" s="1">
        <v>8.75</v>
      </c>
      <c r="I637" t="s">
        <v>13</v>
      </c>
      <c r="J637" t="s">
        <v>2141</v>
      </c>
      <c r="K637" t="s">
        <v>14</v>
      </c>
      <c r="L637" s="1" t="str">
        <f t="shared" si="54"/>
        <v>2023</v>
      </c>
      <c r="M637" t="str">
        <f t="shared" si="55"/>
        <v>Oct</v>
      </c>
      <c r="N637" t="str">
        <f t="shared" si="56"/>
        <v>Sat</v>
      </c>
      <c r="O637" s="1">
        <f t="shared" si="57"/>
        <v>3</v>
      </c>
      <c r="P637" s="1">
        <f t="shared" si="58"/>
        <v>8.75</v>
      </c>
      <c r="Q637" s="1">
        <f>ROUND(G637*H637*VLOOKUP(D637,'Cost Product'!A$1:C$21,3,FALSE),0)</f>
        <v>5</v>
      </c>
      <c r="R637" s="1">
        <f t="shared" si="59"/>
        <v>3.75</v>
      </c>
    </row>
    <row r="638" spans="1:18" x14ac:dyDescent="0.25">
      <c r="A638" s="1" t="s">
        <v>1311</v>
      </c>
      <c r="B638" t="s">
        <v>1312</v>
      </c>
      <c r="C638" t="s">
        <v>17</v>
      </c>
      <c r="D638" t="s">
        <v>53</v>
      </c>
      <c r="E638" s="4">
        <v>45310</v>
      </c>
      <c r="F638" s="4">
        <v>45317</v>
      </c>
      <c r="G638" s="1">
        <v>5</v>
      </c>
      <c r="H638" s="1">
        <v>4.75</v>
      </c>
      <c r="I638" t="s">
        <v>13</v>
      </c>
      <c r="J638" t="s">
        <v>2141</v>
      </c>
      <c r="K638" t="s">
        <v>14</v>
      </c>
      <c r="L638" s="1" t="str">
        <f t="shared" si="54"/>
        <v>2024</v>
      </c>
      <c r="M638" t="str">
        <f t="shared" si="55"/>
        <v>Jan</v>
      </c>
      <c r="N638" t="str">
        <f t="shared" si="56"/>
        <v>Fri</v>
      </c>
      <c r="O638" s="1">
        <f t="shared" si="57"/>
        <v>7</v>
      </c>
      <c r="P638" s="1">
        <f t="shared" si="58"/>
        <v>23.75</v>
      </c>
      <c r="Q638" s="1">
        <f>ROUND(G638*H638*VLOOKUP(D638,'Cost Product'!A$1:C$21,3,FALSE),0)</f>
        <v>13</v>
      </c>
      <c r="R638" s="1">
        <f t="shared" si="59"/>
        <v>10.75</v>
      </c>
    </row>
    <row r="639" spans="1:18" x14ac:dyDescent="0.25">
      <c r="A639" s="1" t="s">
        <v>1313</v>
      </c>
      <c r="B639" t="s">
        <v>1314</v>
      </c>
      <c r="C639" t="s">
        <v>65</v>
      </c>
      <c r="D639" t="s">
        <v>115</v>
      </c>
      <c r="E639" s="4">
        <v>45132</v>
      </c>
      <c r="F639" s="4">
        <v>45135</v>
      </c>
      <c r="G639" s="1">
        <v>4</v>
      </c>
      <c r="H639" s="1">
        <v>3</v>
      </c>
      <c r="I639" t="s">
        <v>13</v>
      </c>
      <c r="J639" t="s">
        <v>2142</v>
      </c>
      <c r="K639" t="s">
        <v>14</v>
      </c>
      <c r="L639" s="1" t="str">
        <f t="shared" si="54"/>
        <v>2023</v>
      </c>
      <c r="M639" t="str">
        <f t="shared" si="55"/>
        <v>Jul</v>
      </c>
      <c r="N639" t="str">
        <f t="shared" si="56"/>
        <v>Tue</v>
      </c>
      <c r="O639" s="1">
        <f t="shared" si="57"/>
        <v>3</v>
      </c>
      <c r="P639" s="1">
        <f t="shared" si="58"/>
        <v>12</v>
      </c>
      <c r="Q639" s="1">
        <f>ROUND(G639*H639*VLOOKUP(D639,'Cost Product'!A$1:C$21,3,FALSE),0)</f>
        <v>6</v>
      </c>
      <c r="R639" s="1">
        <f t="shared" si="59"/>
        <v>6</v>
      </c>
    </row>
    <row r="640" spans="1:18" x14ac:dyDescent="0.25">
      <c r="A640" s="1" t="s">
        <v>1315</v>
      </c>
      <c r="B640" t="s">
        <v>1316</v>
      </c>
      <c r="C640" t="s">
        <v>22</v>
      </c>
      <c r="D640" t="s">
        <v>23</v>
      </c>
      <c r="E640" s="4">
        <v>45471</v>
      </c>
      <c r="F640" s="4">
        <v>45478</v>
      </c>
      <c r="G640" s="1">
        <v>3</v>
      </c>
      <c r="H640" s="1">
        <v>10</v>
      </c>
      <c r="I640" t="s">
        <v>13</v>
      </c>
      <c r="J640" t="s">
        <v>2141</v>
      </c>
      <c r="K640" t="s">
        <v>28</v>
      </c>
      <c r="L640" s="1" t="str">
        <f t="shared" si="54"/>
        <v>2024</v>
      </c>
      <c r="M640" t="str">
        <f t="shared" si="55"/>
        <v>Jun</v>
      </c>
      <c r="N640" t="str">
        <f t="shared" si="56"/>
        <v>Fri</v>
      </c>
      <c r="O640" s="1">
        <f t="shared" si="57"/>
        <v>7</v>
      </c>
      <c r="P640" s="1">
        <f t="shared" si="58"/>
        <v>30</v>
      </c>
      <c r="Q640" s="1">
        <f>ROUND(G640*H640*VLOOKUP(D640,'Cost Product'!A$1:C$21,3,FALSE),0)</f>
        <v>20</v>
      </c>
      <c r="R640" s="1">
        <f t="shared" si="59"/>
        <v>10</v>
      </c>
    </row>
    <row r="641" spans="1:18" x14ac:dyDescent="0.25">
      <c r="A641" s="1" t="s">
        <v>1317</v>
      </c>
      <c r="B641" t="s">
        <v>1318</v>
      </c>
      <c r="C641" t="s">
        <v>65</v>
      </c>
      <c r="D641" t="s">
        <v>99</v>
      </c>
      <c r="E641" s="4">
        <v>45570</v>
      </c>
      <c r="F641" s="4">
        <v>45583</v>
      </c>
      <c r="G641" s="1">
        <v>3</v>
      </c>
      <c r="H641" s="1">
        <v>4</v>
      </c>
      <c r="I641" t="s">
        <v>13</v>
      </c>
      <c r="J641" t="s">
        <v>2142</v>
      </c>
      <c r="K641" t="s">
        <v>28</v>
      </c>
      <c r="L641" s="1" t="str">
        <f t="shared" si="54"/>
        <v>2024</v>
      </c>
      <c r="M641" t="str">
        <f t="shared" si="55"/>
        <v>Oct</v>
      </c>
      <c r="N641" t="str">
        <f t="shared" si="56"/>
        <v>Sat</v>
      </c>
      <c r="O641" s="1">
        <f t="shared" si="57"/>
        <v>13</v>
      </c>
      <c r="P641" s="1">
        <f t="shared" si="58"/>
        <v>12</v>
      </c>
      <c r="Q641" s="1">
        <f>ROUND(G641*H641*VLOOKUP(D641,'Cost Product'!A$1:C$21,3,FALSE),0)</f>
        <v>6</v>
      </c>
      <c r="R641" s="1">
        <f t="shared" si="59"/>
        <v>6</v>
      </c>
    </row>
    <row r="642" spans="1:18" x14ac:dyDescent="0.25">
      <c r="A642" s="1" t="s">
        <v>1319</v>
      </c>
      <c r="B642" t="s">
        <v>1320</v>
      </c>
      <c r="C642" t="s">
        <v>17</v>
      </c>
      <c r="D642" t="s">
        <v>79</v>
      </c>
      <c r="E642" s="4">
        <v>45263</v>
      </c>
      <c r="F642" s="4">
        <v>45277</v>
      </c>
      <c r="G642" s="1">
        <v>4</v>
      </c>
      <c r="H642" s="1">
        <v>5</v>
      </c>
      <c r="I642" t="s">
        <v>13</v>
      </c>
      <c r="J642" t="s">
        <v>2141</v>
      </c>
      <c r="K642" t="s">
        <v>28</v>
      </c>
      <c r="L642" s="1" t="str">
        <f t="shared" si="54"/>
        <v>2023</v>
      </c>
      <c r="M642" t="str">
        <f t="shared" si="55"/>
        <v>Dec</v>
      </c>
      <c r="N642" t="str">
        <f t="shared" si="56"/>
        <v>Sun</v>
      </c>
      <c r="O642" s="1">
        <f t="shared" si="57"/>
        <v>14</v>
      </c>
      <c r="P642" s="1">
        <f t="shared" si="58"/>
        <v>20</v>
      </c>
      <c r="Q642" s="1">
        <f>ROUND(G642*H642*VLOOKUP(D642,'Cost Product'!A$1:C$21,3,FALSE),0)</f>
        <v>11</v>
      </c>
      <c r="R642" s="1">
        <f t="shared" si="59"/>
        <v>9</v>
      </c>
    </row>
    <row r="643" spans="1:18" x14ac:dyDescent="0.25">
      <c r="A643" s="1" t="s">
        <v>1321</v>
      </c>
      <c r="B643" t="s">
        <v>1322</v>
      </c>
      <c r="C643" t="s">
        <v>17</v>
      </c>
      <c r="D643" t="s">
        <v>53</v>
      </c>
      <c r="E643" s="4">
        <v>45466</v>
      </c>
      <c r="F643" s="4">
        <v>45471</v>
      </c>
      <c r="G643" s="1">
        <v>2</v>
      </c>
      <c r="H643" s="1">
        <v>4.75</v>
      </c>
      <c r="I643" t="s">
        <v>40</v>
      </c>
      <c r="J643" t="s">
        <v>2146</v>
      </c>
      <c r="K643" t="s">
        <v>28</v>
      </c>
      <c r="L643" s="1" t="str">
        <f t="shared" ref="L643:L706" si="60">TEXT(E643, "YYYY")</f>
        <v>2024</v>
      </c>
      <c r="M643" t="str">
        <f t="shared" ref="M643:M706" si="61">TEXT(E643, "MMM")</f>
        <v>Jun</v>
      </c>
      <c r="N643" t="str">
        <f t="shared" ref="N643:N706" si="62">TEXT(E643, "DDD")</f>
        <v>Sun</v>
      </c>
      <c r="O643" s="1">
        <f t="shared" ref="O643:O706" si="63">DATEDIF(E643, F643, "D")</f>
        <v>5</v>
      </c>
      <c r="P643" s="1">
        <f t="shared" ref="P643:P706" si="64">G643*H643</f>
        <v>9.5</v>
      </c>
      <c r="Q643" s="1">
        <f>ROUND(G643*H643*VLOOKUP(D643,'Cost Product'!A$1:C$21,3,FALSE),0)</f>
        <v>5</v>
      </c>
      <c r="R643" s="1">
        <f t="shared" ref="R643:R706" si="65">P643-Q643</f>
        <v>4.5</v>
      </c>
    </row>
    <row r="644" spans="1:18" x14ac:dyDescent="0.25">
      <c r="A644" s="1" t="s">
        <v>1323</v>
      </c>
      <c r="B644" t="s">
        <v>1324</v>
      </c>
      <c r="C644" t="s">
        <v>17</v>
      </c>
      <c r="D644" t="s">
        <v>50</v>
      </c>
      <c r="E644" s="4">
        <v>45143</v>
      </c>
      <c r="F644" s="4">
        <v>45144</v>
      </c>
      <c r="G644" s="1">
        <v>1</v>
      </c>
      <c r="H644" s="1">
        <v>5.25</v>
      </c>
      <c r="I644" t="s">
        <v>13</v>
      </c>
      <c r="J644" t="s">
        <v>2142</v>
      </c>
      <c r="K644" t="s">
        <v>19</v>
      </c>
      <c r="L644" s="1" t="str">
        <f t="shared" si="60"/>
        <v>2023</v>
      </c>
      <c r="M644" t="str">
        <f t="shared" si="61"/>
        <v>Aug</v>
      </c>
      <c r="N644" t="str">
        <f t="shared" si="62"/>
        <v>Sat</v>
      </c>
      <c r="O644" s="1">
        <f t="shared" si="63"/>
        <v>1</v>
      </c>
      <c r="P644" s="1">
        <f t="shared" si="64"/>
        <v>5.25</v>
      </c>
      <c r="Q644" s="1">
        <f>ROUND(G644*H644*VLOOKUP(D644,'Cost Product'!A$1:C$21,3,FALSE),0)</f>
        <v>3</v>
      </c>
      <c r="R644" s="1">
        <f t="shared" si="65"/>
        <v>2.25</v>
      </c>
    </row>
    <row r="645" spans="1:18" x14ac:dyDescent="0.25">
      <c r="A645" s="1" t="s">
        <v>1325</v>
      </c>
      <c r="B645" t="s">
        <v>1326</v>
      </c>
      <c r="C645" t="s">
        <v>22</v>
      </c>
      <c r="D645" t="s">
        <v>23</v>
      </c>
      <c r="E645" s="4">
        <v>45416</v>
      </c>
      <c r="F645" s="4">
        <v>45418</v>
      </c>
      <c r="G645" s="1">
        <v>4</v>
      </c>
      <c r="H645" s="1">
        <v>10</v>
      </c>
      <c r="I645" t="s">
        <v>40</v>
      </c>
      <c r="J645" t="s">
        <v>2141</v>
      </c>
      <c r="K645" t="s">
        <v>28</v>
      </c>
      <c r="L645" s="1" t="str">
        <f t="shared" si="60"/>
        <v>2024</v>
      </c>
      <c r="M645" t="str">
        <f t="shared" si="61"/>
        <v>May</v>
      </c>
      <c r="N645" t="str">
        <f t="shared" si="62"/>
        <v>Sat</v>
      </c>
      <c r="O645" s="1">
        <f t="shared" si="63"/>
        <v>2</v>
      </c>
      <c r="P645" s="1">
        <f t="shared" si="64"/>
        <v>40</v>
      </c>
      <c r="Q645" s="1">
        <f>ROUND(G645*H645*VLOOKUP(D645,'Cost Product'!A$1:C$21,3,FALSE),0)</f>
        <v>26</v>
      </c>
      <c r="R645" s="1">
        <f t="shared" si="65"/>
        <v>14</v>
      </c>
    </row>
    <row r="646" spans="1:18" x14ac:dyDescent="0.25">
      <c r="A646" s="1" t="s">
        <v>1327</v>
      </c>
      <c r="B646" t="s">
        <v>1328</v>
      </c>
      <c r="C646" t="s">
        <v>11</v>
      </c>
      <c r="D646" t="s">
        <v>31</v>
      </c>
      <c r="E646" s="4">
        <v>45168</v>
      </c>
      <c r="F646" s="4">
        <v>45171</v>
      </c>
      <c r="G646" s="1">
        <v>1</v>
      </c>
      <c r="H646" s="1">
        <v>5.5</v>
      </c>
      <c r="I646" t="s">
        <v>13</v>
      </c>
      <c r="J646" t="s">
        <v>2142</v>
      </c>
      <c r="K646" t="s">
        <v>28</v>
      </c>
      <c r="L646" s="1" t="str">
        <f t="shared" si="60"/>
        <v>2023</v>
      </c>
      <c r="M646" t="str">
        <f t="shared" si="61"/>
        <v>Aug</v>
      </c>
      <c r="N646" t="str">
        <f t="shared" si="62"/>
        <v>Wed</v>
      </c>
      <c r="O646" s="1">
        <f t="shared" si="63"/>
        <v>3</v>
      </c>
      <c r="P646" s="1">
        <f t="shared" si="64"/>
        <v>5.5</v>
      </c>
      <c r="Q646" s="1">
        <f>ROUND(G646*H646*VLOOKUP(D646,'Cost Product'!A$1:C$21,3,FALSE),0)</f>
        <v>3</v>
      </c>
      <c r="R646" s="1">
        <f t="shared" si="65"/>
        <v>2.5</v>
      </c>
    </row>
    <row r="647" spans="1:18" x14ac:dyDescent="0.25">
      <c r="A647" s="1" t="s">
        <v>1329</v>
      </c>
      <c r="B647" t="s">
        <v>1330</v>
      </c>
      <c r="C647" t="s">
        <v>26</v>
      </c>
      <c r="D647" t="s">
        <v>82</v>
      </c>
      <c r="E647" s="4">
        <v>45339</v>
      </c>
      <c r="F647" s="4">
        <v>45351</v>
      </c>
      <c r="G647" s="1">
        <v>3</v>
      </c>
      <c r="H647" s="1">
        <v>4.25</v>
      </c>
      <c r="I647" t="s">
        <v>13</v>
      </c>
      <c r="J647" t="s">
        <v>2141</v>
      </c>
      <c r="K647" t="s">
        <v>19</v>
      </c>
      <c r="L647" s="1" t="str">
        <f t="shared" si="60"/>
        <v>2024</v>
      </c>
      <c r="M647" t="str">
        <f t="shared" si="61"/>
        <v>Feb</v>
      </c>
      <c r="N647" t="str">
        <f t="shared" si="62"/>
        <v>Sat</v>
      </c>
      <c r="O647" s="1">
        <f t="shared" si="63"/>
        <v>12</v>
      </c>
      <c r="P647" s="1">
        <f t="shared" si="64"/>
        <v>12.75</v>
      </c>
      <c r="Q647" s="1">
        <f>ROUND(G647*H647*VLOOKUP(D647,'Cost Product'!A$1:C$21,3,FALSE),0)</f>
        <v>6</v>
      </c>
      <c r="R647" s="1">
        <f t="shared" si="65"/>
        <v>6.75</v>
      </c>
    </row>
    <row r="648" spans="1:18" x14ac:dyDescent="0.25">
      <c r="A648" s="1" t="s">
        <v>1331</v>
      </c>
      <c r="B648" t="s">
        <v>1332</v>
      </c>
      <c r="C648" t="s">
        <v>65</v>
      </c>
      <c r="D648" t="s">
        <v>120</v>
      </c>
      <c r="E648" s="4">
        <v>45592</v>
      </c>
      <c r="F648" s="4">
        <v>45596</v>
      </c>
      <c r="G648" s="1">
        <v>4</v>
      </c>
      <c r="H648" s="1">
        <v>3.75</v>
      </c>
      <c r="I648" t="s">
        <v>13</v>
      </c>
      <c r="J648" t="s">
        <v>2145</v>
      </c>
      <c r="K648" t="s">
        <v>28</v>
      </c>
      <c r="L648" s="1" t="str">
        <f t="shared" si="60"/>
        <v>2024</v>
      </c>
      <c r="M648" t="str">
        <f t="shared" si="61"/>
        <v>Oct</v>
      </c>
      <c r="N648" t="str">
        <f t="shared" si="62"/>
        <v>Sun</v>
      </c>
      <c r="O648" s="1">
        <f t="shared" si="63"/>
        <v>4</v>
      </c>
      <c r="P648" s="1">
        <f t="shared" si="64"/>
        <v>15</v>
      </c>
      <c r="Q648" s="1">
        <f>ROUND(G648*H648*VLOOKUP(D648,'Cost Product'!A$1:C$21,3,FALSE),0)</f>
        <v>8</v>
      </c>
      <c r="R648" s="1">
        <f t="shared" si="65"/>
        <v>7</v>
      </c>
    </row>
    <row r="649" spans="1:18" x14ac:dyDescent="0.25">
      <c r="A649" s="1" t="s">
        <v>1333</v>
      </c>
      <c r="B649" t="s">
        <v>1334</v>
      </c>
      <c r="C649" t="s">
        <v>22</v>
      </c>
      <c r="D649" t="s">
        <v>56</v>
      </c>
      <c r="E649" s="4">
        <v>45214</v>
      </c>
      <c r="F649" s="4">
        <v>45215</v>
      </c>
      <c r="G649" s="1">
        <v>5</v>
      </c>
      <c r="H649" s="1">
        <v>8.75</v>
      </c>
      <c r="I649" t="s">
        <v>13</v>
      </c>
      <c r="J649" t="s">
        <v>2146</v>
      </c>
      <c r="K649" t="s">
        <v>19</v>
      </c>
      <c r="L649" s="1" t="str">
        <f t="shared" si="60"/>
        <v>2023</v>
      </c>
      <c r="M649" t="str">
        <f t="shared" si="61"/>
        <v>Oct</v>
      </c>
      <c r="N649" t="str">
        <f t="shared" si="62"/>
        <v>Sun</v>
      </c>
      <c r="O649" s="1">
        <f t="shared" si="63"/>
        <v>1</v>
      </c>
      <c r="P649" s="1">
        <f t="shared" si="64"/>
        <v>43.75</v>
      </c>
      <c r="Q649" s="1">
        <f>ROUND(G649*H649*VLOOKUP(D649,'Cost Product'!A$1:C$21,3,FALSE),0)</f>
        <v>25</v>
      </c>
      <c r="R649" s="1">
        <f t="shared" si="65"/>
        <v>18.75</v>
      </c>
    </row>
    <row r="650" spans="1:18" x14ac:dyDescent="0.25">
      <c r="A650" s="1" t="s">
        <v>1335</v>
      </c>
      <c r="B650" t="s">
        <v>1336</v>
      </c>
      <c r="C650" t="s">
        <v>65</v>
      </c>
      <c r="D650" t="s">
        <v>115</v>
      </c>
      <c r="E650" s="4">
        <v>45576</v>
      </c>
      <c r="F650" s="4">
        <v>45577</v>
      </c>
      <c r="G650" s="1">
        <v>3</v>
      </c>
      <c r="H650" s="1">
        <v>3</v>
      </c>
      <c r="I650" t="s">
        <v>13</v>
      </c>
      <c r="J650" t="s">
        <v>2141</v>
      </c>
      <c r="K650" t="s">
        <v>14</v>
      </c>
      <c r="L650" s="1" t="str">
        <f t="shared" si="60"/>
        <v>2024</v>
      </c>
      <c r="M650" t="str">
        <f t="shared" si="61"/>
        <v>Oct</v>
      </c>
      <c r="N650" t="str">
        <f t="shared" si="62"/>
        <v>Fri</v>
      </c>
      <c r="O650" s="1">
        <f t="shared" si="63"/>
        <v>1</v>
      </c>
      <c r="P650" s="1">
        <f t="shared" si="64"/>
        <v>9</v>
      </c>
      <c r="Q650" s="1">
        <f>ROUND(G650*H650*VLOOKUP(D650,'Cost Product'!A$1:C$21,3,FALSE),0)</f>
        <v>4</v>
      </c>
      <c r="R650" s="1">
        <f t="shared" si="65"/>
        <v>5</v>
      </c>
    </row>
    <row r="651" spans="1:18" x14ac:dyDescent="0.25">
      <c r="A651" s="1" t="s">
        <v>1337</v>
      </c>
      <c r="B651" t="s">
        <v>1338</v>
      </c>
      <c r="C651" t="s">
        <v>11</v>
      </c>
      <c r="D651" t="s">
        <v>39</v>
      </c>
      <c r="E651" s="4">
        <v>45336</v>
      </c>
      <c r="F651" s="4">
        <v>45337</v>
      </c>
      <c r="G651" s="1">
        <v>5</v>
      </c>
      <c r="H651" s="1">
        <v>5.75</v>
      </c>
      <c r="I651" t="s">
        <v>13</v>
      </c>
      <c r="J651" t="s">
        <v>2141</v>
      </c>
      <c r="K651" t="s">
        <v>19</v>
      </c>
      <c r="L651" s="1" t="str">
        <f t="shared" si="60"/>
        <v>2024</v>
      </c>
      <c r="M651" t="str">
        <f t="shared" si="61"/>
        <v>Feb</v>
      </c>
      <c r="N651" t="str">
        <f t="shared" si="62"/>
        <v>Wed</v>
      </c>
      <c r="O651" s="1">
        <f t="shared" si="63"/>
        <v>1</v>
      </c>
      <c r="P651" s="1">
        <f t="shared" si="64"/>
        <v>28.75</v>
      </c>
      <c r="Q651" s="1">
        <f>ROUND(G651*H651*VLOOKUP(D651,'Cost Product'!A$1:C$21,3,FALSE),0)</f>
        <v>14</v>
      </c>
      <c r="R651" s="1">
        <f t="shared" si="65"/>
        <v>14.75</v>
      </c>
    </row>
    <row r="652" spans="1:18" x14ac:dyDescent="0.25">
      <c r="A652" s="1" t="s">
        <v>1339</v>
      </c>
      <c r="B652" t="s">
        <v>1340</v>
      </c>
      <c r="C652" t="s">
        <v>17</v>
      </c>
      <c r="D652" t="s">
        <v>50</v>
      </c>
      <c r="E652" s="4">
        <v>45436</v>
      </c>
      <c r="F652" s="4">
        <v>45437</v>
      </c>
      <c r="G652" s="1">
        <v>3</v>
      </c>
      <c r="H652" s="1">
        <v>5.25</v>
      </c>
      <c r="I652" t="s">
        <v>13</v>
      </c>
      <c r="J652" t="s">
        <v>2144</v>
      </c>
      <c r="K652" t="s">
        <v>14</v>
      </c>
      <c r="L652" s="1" t="str">
        <f t="shared" si="60"/>
        <v>2024</v>
      </c>
      <c r="M652" t="str">
        <f t="shared" si="61"/>
        <v>May</v>
      </c>
      <c r="N652" t="str">
        <f t="shared" si="62"/>
        <v>Fri</v>
      </c>
      <c r="O652" s="1">
        <f t="shared" si="63"/>
        <v>1</v>
      </c>
      <c r="P652" s="1">
        <f t="shared" si="64"/>
        <v>15.75</v>
      </c>
      <c r="Q652" s="1">
        <f>ROUND(G652*H652*VLOOKUP(D652,'Cost Product'!A$1:C$21,3,FALSE),0)</f>
        <v>9</v>
      </c>
      <c r="R652" s="1">
        <f t="shared" si="65"/>
        <v>6.75</v>
      </c>
    </row>
    <row r="653" spans="1:18" x14ac:dyDescent="0.25">
      <c r="A653" s="1" t="s">
        <v>1341</v>
      </c>
      <c r="B653" t="s">
        <v>1342</v>
      </c>
      <c r="C653" t="s">
        <v>65</v>
      </c>
      <c r="D653" t="s">
        <v>99</v>
      </c>
      <c r="E653" s="4">
        <v>45390</v>
      </c>
      <c r="F653" s="4">
        <v>45394</v>
      </c>
      <c r="G653" s="1">
        <v>4</v>
      </c>
      <c r="H653" s="1">
        <v>4</v>
      </c>
      <c r="I653" t="s">
        <v>13</v>
      </c>
      <c r="J653" t="s">
        <v>2141</v>
      </c>
      <c r="K653" t="s">
        <v>28</v>
      </c>
      <c r="L653" s="1" t="str">
        <f t="shared" si="60"/>
        <v>2024</v>
      </c>
      <c r="M653" t="str">
        <f t="shared" si="61"/>
        <v>Apr</v>
      </c>
      <c r="N653" t="str">
        <f t="shared" si="62"/>
        <v>Mon</v>
      </c>
      <c r="O653" s="1">
        <f t="shared" si="63"/>
        <v>4</v>
      </c>
      <c r="P653" s="1">
        <f t="shared" si="64"/>
        <v>16</v>
      </c>
      <c r="Q653" s="1">
        <f>ROUND(G653*H653*VLOOKUP(D653,'Cost Product'!A$1:C$21,3,FALSE),0)</f>
        <v>8</v>
      </c>
      <c r="R653" s="1">
        <f t="shared" si="65"/>
        <v>8</v>
      </c>
    </row>
    <row r="654" spans="1:18" x14ac:dyDescent="0.25">
      <c r="A654" s="1" t="s">
        <v>1343</v>
      </c>
      <c r="B654" t="s">
        <v>1344</v>
      </c>
      <c r="C654" t="s">
        <v>11</v>
      </c>
      <c r="D654" t="s">
        <v>12</v>
      </c>
      <c r="E654" s="4">
        <v>45324</v>
      </c>
      <c r="F654" s="4">
        <v>45327</v>
      </c>
      <c r="G654" s="1">
        <v>5</v>
      </c>
      <c r="H654" s="1">
        <v>6.5</v>
      </c>
      <c r="I654" t="s">
        <v>13</v>
      </c>
      <c r="J654" t="s">
        <v>2141</v>
      </c>
      <c r="K654" t="s">
        <v>19</v>
      </c>
      <c r="L654" s="1" t="str">
        <f t="shared" si="60"/>
        <v>2024</v>
      </c>
      <c r="M654" t="str">
        <f t="shared" si="61"/>
        <v>Feb</v>
      </c>
      <c r="N654" t="str">
        <f t="shared" si="62"/>
        <v>Fri</v>
      </c>
      <c r="O654" s="1">
        <f t="shared" si="63"/>
        <v>3</v>
      </c>
      <c r="P654" s="1">
        <f t="shared" si="64"/>
        <v>32.5</v>
      </c>
      <c r="Q654" s="1">
        <f>ROUND(G654*H654*VLOOKUP(D654,'Cost Product'!A$1:C$21,3,FALSE),0)</f>
        <v>19</v>
      </c>
      <c r="R654" s="1">
        <f t="shared" si="65"/>
        <v>13.5</v>
      </c>
    </row>
    <row r="655" spans="1:18" x14ac:dyDescent="0.25">
      <c r="A655" s="1" t="s">
        <v>1345</v>
      </c>
      <c r="B655" t="s">
        <v>1346</v>
      </c>
      <c r="C655" t="s">
        <v>26</v>
      </c>
      <c r="D655" t="s">
        <v>82</v>
      </c>
      <c r="E655" s="4">
        <v>45277</v>
      </c>
      <c r="F655" s="4">
        <v>45280</v>
      </c>
      <c r="G655" s="1">
        <v>1</v>
      </c>
      <c r="H655" s="1">
        <v>4.25</v>
      </c>
      <c r="I655" t="s">
        <v>13</v>
      </c>
      <c r="J655" t="s">
        <v>2144</v>
      </c>
      <c r="K655" t="s">
        <v>14</v>
      </c>
      <c r="L655" s="1" t="str">
        <f t="shared" si="60"/>
        <v>2023</v>
      </c>
      <c r="M655" t="str">
        <f t="shared" si="61"/>
        <v>Dec</v>
      </c>
      <c r="N655" t="str">
        <f t="shared" si="62"/>
        <v>Sun</v>
      </c>
      <c r="O655" s="1">
        <f t="shared" si="63"/>
        <v>3</v>
      </c>
      <c r="P655" s="1">
        <f t="shared" si="64"/>
        <v>4.25</v>
      </c>
      <c r="Q655" s="1">
        <f>ROUND(G655*H655*VLOOKUP(D655,'Cost Product'!A$1:C$21,3,FALSE),0)</f>
        <v>2</v>
      </c>
      <c r="R655" s="1">
        <f t="shared" si="65"/>
        <v>2.25</v>
      </c>
    </row>
    <row r="656" spans="1:18" x14ac:dyDescent="0.25">
      <c r="A656" s="1" t="s">
        <v>1347</v>
      </c>
      <c r="B656" t="s">
        <v>1348</v>
      </c>
      <c r="C656" t="s">
        <v>17</v>
      </c>
      <c r="D656" t="s">
        <v>50</v>
      </c>
      <c r="E656" s="4">
        <v>45115</v>
      </c>
      <c r="F656" s="4">
        <v>45120</v>
      </c>
      <c r="G656" s="1">
        <v>3</v>
      </c>
      <c r="H656" s="1">
        <v>5.25</v>
      </c>
      <c r="I656" t="s">
        <v>13</v>
      </c>
      <c r="J656" t="s">
        <v>2142</v>
      </c>
      <c r="K656" t="s">
        <v>19</v>
      </c>
      <c r="L656" s="1" t="str">
        <f t="shared" si="60"/>
        <v>2023</v>
      </c>
      <c r="M656" t="str">
        <f t="shared" si="61"/>
        <v>Jul</v>
      </c>
      <c r="N656" t="str">
        <f t="shared" si="62"/>
        <v>Sat</v>
      </c>
      <c r="O656" s="1">
        <f t="shared" si="63"/>
        <v>5</v>
      </c>
      <c r="P656" s="1">
        <f t="shared" si="64"/>
        <v>15.75</v>
      </c>
      <c r="Q656" s="1">
        <f>ROUND(G656*H656*VLOOKUP(D656,'Cost Product'!A$1:C$21,3,FALSE),0)</f>
        <v>9</v>
      </c>
      <c r="R656" s="1">
        <f t="shared" si="65"/>
        <v>6.75</v>
      </c>
    </row>
    <row r="657" spans="1:18" x14ac:dyDescent="0.25">
      <c r="A657" s="1" t="s">
        <v>1349</v>
      </c>
      <c r="B657" t="s">
        <v>1350</v>
      </c>
      <c r="C657" t="s">
        <v>22</v>
      </c>
      <c r="D657" t="s">
        <v>62</v>
      </c>
      <c r="E657" s="4">
        <v>45447</v>
      </c>
      <c r="F657" s="4">
        <v>45454</v>
      </c>
      <c r="G657" s="1">
        <v>3</v>
      </c>
      <c r="H657" s="1">
        <v>8</v>
      </c>
      <c r="I657" t="s">
        <v>13</v>
      </c>
      <c r="J657" t="s">
        <v>2142</v>
      </c>
      <c r="K657" t="s">
        <v>14</v>
      </c>
      <c r="L657" s="1" t="str">
        <f t="shared" si="60"/>
        <v>2024</v>
      </c>
      <c r="M657" t="str">
        <f t="shared" si="61"/>
        <v>Jun</v>
      </c>
      <c r="N657" t="str">
        <f t="shared" si="62"/>
        <v>Tue</v>
      </c>
      <c r="O657" s="1">
        <f t="shared" si="63"/>
        <v>7</v>
      </c>
      <c r="P657" s="1">
        <f t="shared" si="64"/>
        <v>24</v>
      </c>
      <c r="Q657" s="1">
        <f>ROUND(G657*H657*VLOOKUP(D657,'Cost Product'!A$1:C$21,3,FALSE),0)</f>
        <v>14</v>
      </c>
      <c r="R657" s="1">
        <f t="shared" si="65"/>
        <v>10</v>
      </c>
    </row>
    <row r="658" spans="1:18" x14ac:dyDescent="0.25">
      <c r="A658" s="1" t="s">
        <v>1351</v>
      </c>
      <c r="B658" t="s">
        <v>1352</v>
      </c>
      <c r="C658" t="s">
        <v>17</v>
      </c>
      <c r="D658" t="s">
        <v>79</v>
      </c>
      <c r="E658" s="4">
        <v>45512</v>
      </c>
      <c r="F658" s="4">
        <v>45519</v>
      </c>
      <c r="G658" s="1">
        <v>3</v>
      </c>
      <c r="H658" s="1">
        <v>5</v>
      </c>
      <c r="I658" t="s">
        <v>40</v>
      </c>
      <c r="J658" t="s">
        <v>2141</v>
      </c>
      <c r="K658" t="s">
        <v>28</v>
      </c>
      <c r="L658" s="1" t="str">
        <f t="shared" si="60"/>
        <v>2024</v>
      </c>
      <c r="M658" t="str">
        <f t="shared" si="61"/>
        <v>Aug</v>
      </c>
      <c r="N658" t="str">
        <f t="shared" si="62"/>
        <v>Thu</v>
      </c>
      <c r="O658" s="1">
        <f t="shared" si="63"/>
        <v>7</v>
      </c>
      <c r="P658" s="1">
        <f t="shared" si="64"/>
        <v>15</v>
      </c>
      <c r="Q658" s="1">
        <f>ROUND(G658*H658*VLOOKUP(D658,'Cost Product'!A$1:C$21,3,FALSE),0)</f>
        <v>8</v>
      </c>
      <c r="R658" s="1">
        <f t="shared" si="65"/>
        <v>7</v>
      </c>
    </row>
    <row r="659" spans="1:18" x14ac:dyDescent="0.25">
      <c r="A659" s="1" t="s">
        <v>1353</v>
      </c>
      <c r="B659" t="s">
        <v>1354</v>
      </c>
      <c r="C659" t="s">
        <v>65</v>
      </c>
      <c r="D659" t="s">
        <v>115</v>
      </c>
      <c r="E659" s="4">
        <v>45317</v>
      </c>
      <c r="F659" s="4">
        <v>45323</v>
      </c>
      <c r="G659" s="1">
        <v>3</v>
      </c>
      <c r="H659" s="1">
        <v>3</v>
      </c>
      <c r="I659" t="s">
        <v>13</v>
      </c>
      <c r="J659" t="s">
        <v>2145</v>
      </c>
      <c r="K659" t="s">
        <v>28</v>
      </c>
      <c r="L659" s="1" t="str">
        <f t="shared" si="60"/>
        <v>2024</v>
      </c>
      <c r="M659" t="str">
        <f t="shared" si="61"/>
        <v>Jan</v>
      </c>
      <c r="N659" t="str">
        <f t="shared" si="62"/>
        <v>Fri</v>
      </c>
      <c r="O659" s="1">
        <f t="shared" si="63"/>
        <v>6</v>
      </c>
      <c r="P659" s="1">
        <f t="shared" si="64"/>
        <v>9</v>
      </c>
      <c r="Q659" s="1">
        <f>ROUND(G659*H659*VLOOKUP(D659,'Cost Product'!A$1:C$21,3,FALSE),0)</f>
        <v>4</v>
      </c>
      <c r="R659" s="1">
        <f t="shared" si="65"/>
        <v>5</v>
      </c>
    </row>
    <row r="660" spans="1:18" x14ac:dyDescent="0.25">
      <c r="A660" s="1" t="s">
        <v>1355</v>
      </c>
      <c r="B660" t="s">
        <v>1356</v>
      </c>
      <c r="C660" t="s">
        <v>22</v>
      </c>
      <c r="D660" t="s">
        <v>23</v>
      </c>
      <c r="E660" s="4">
        <v>45476</v>
      </c>
      <c r="F660" s="4">
        <v>45478</v>
      </c>
      <c r="G660" s="1">
        <v>3</v>
      </c>
      <c r="H660" s="1">
        <v>10</v>
      </c>
      <c r="I660" t="s">
        <v>13</v>
      </c>
      <c r="J660" t="s">
        <v>2145</v>
      </c>
      <c r="K660" t="s">
        <v>14</v>
      </c>
      <c r="L660" s="1" t="str">
        <f t="shared" si="60"/>
        <v>2024</v>
      </c>
      <c r="M660" t="str">
        <f t="shared" si="61"/>
        <v>Jul</v>
      </c>
      <c r="N660" t="str">
        <f t="shared" si="62"/>
        <v>Wed</v>
      </c>
      <c r="O660" s="1">
        <f t="shared" si="63"/>
        <v>2</v>
      </c>
      <c r="P660" s="1">
        <f t="shared" si="64"/>
        <v>30</v>
      </c>
      <c r="Q660" s="1">
        <f>ROUND(G660*H660*VLOOKUP(D660,'Cost Product'!A$1:C$21,3,FALSE),0)</f>
        <v>20</v>
      </c>
      <c r="R660" s="1">
        <f t="shared" si="65"/>
        <v>10</v>
      </c>
    </row>
    <row r="661" spans="1:18" x14ac:dyDescent="0.25">
      <c r="A661" s="1" t="s">
        <v>1357</v>
      </c>
      <c r="B661" t="s">
        <v>1358</v>
      </c>
      <c r="C661" t="s">
        <v>65</v>
      </c>
      <c r="D661" t="s">
        <v>66</v>
      </c>
      <c r="E661" s="4">
        <v>45134</v>
      </c>
      <c r="F661" s="4">
        <v>45141</v>
      </c>
      <c r="G661" s="1">
        <v>5</v>
      </c>
      <c r="H661" s="1">
        <v>3.5</v>
      </c>
      <c r="I661" t="s">
        <v>13</v>
      </c>
      <c r="J661" t="s">
        <v>2142</v>
      </c>
      <c r="K661" t="s">
        <v>28</v>
      </c>
      <c r="L661" s="1" t="str">
        <f t="shared" si="60"/>
        <v>2023</v>
      </c>
      <c r="M661" t="str">
        <f t="shared" si="61"/>
        <v>Jul</v>
      </c>
      <c r="N661" t="str">
        <f t="shared" si="62"/>
        <v>Thu</v>
      </c>
      <c r="O661" s="1">
        <f t="shared" si="63"/>
        <v>7</v>
      </c>
      <c r="P661" s="1">
        <f t="shared" si="64"/>
        <v>17.5</v>
      </c>
      <c r="Q661" s="1">
        <f>ROUND(G661*H661*VLOOKUP(D661,'Cost Product'!A$1:C$21,3,FALSE),0)</f>
        <v>8</v>
      </c>
      <c r="R661" s="1">
        <f t="shared" si="65"/>
        <v>9.5</v>
      </c>
    </row>
    <row r="662" spans="1:18" x14ac:dyDescent="0.25">
      <c r="A662" s="1" t="s">
        <v>1359</v>
      </c>
      <c r="B662" t="s">
        <v>1360</v>
      </c>
      <c r="C662" t="s">
        <v>22</v>
      </c>
      <c r="D662" t="s">
        <v>59</v>
      </c>
      <c r="E662" s="4">
        <v>45541</v>
      </c>
      <c r="F662" s="4">
        <v>45543</v>
      </c>
      <c r="G662" s="1">
        <v>5</v>
      </c>
      <c r="H662" s="1">
        <v>8.5</v>
      </c>
      <c r="I662" t="s">
        <v>13</v>
      </c>
      <c r="J662" t="s">
        <v>2141</v>
      </c>
      <c r="K662" t="s">
        <v>28</v>
      </c>
      <c r="L662" s="1" t="str">
        <f t="shared" si="60"/>
        <v>2024</v>
      </c>
      <c r="M662" t="str">
        <f t="shared" si="61"/>
        <v>Sep</v>
      </c>
      <c r="N662" t="str">
        <f t="shared" si="62"/>
        <v>Fri</v>
      </c>
      <c r="O662" s="1">
        <f t="shared" si="63"/>
        <v>2</v>
      </c>
      <c r="P662" s="1">
        <f t="shared" si="64"/>
        <v>42.5</v>
      </c>
      <c r="Q662" s="1">
        <f>ROUND(G662*H662*VLOOKUP(D662,'Cost Product'!A$1:C$21,3,FALSE),0)</f>
        <v>26</v>
      </c>
      <c r="R662" s="1">
        <f t="shared" si="65"/>
        <v>16.5</v>
      </c>
    </row>
    <row r="663" spans="1:18" x14ac:dyDescent="0.25">
      <c r="A663" s="1" t="s">
        <v>1361</v>
      </c>
      <c r="B663" t="s">
        <v>1362</v>
      </c>
      <c r="C663" t="s">
        <v>65</v>
      </c>
      <c r="D663" t="s">
        <v>99</v>
      </c>
      <c r="E663" s="4">
        <v>45485</v>
      </c>
      <c r="F663" s="4">
        <v>45488</v>
      </c>
      <c r="G663" s="1">
        <v>1</v>
      </c>
      <c r="H663" s="1">
        <v>4</v>
      </c>
      <c r="I663" t="s">
        <v>40</v>
      </c>
      <c r="J663" t="s">
        <v>2141</v>
      </c>
      <c r="K663" t="s">
        <v>19</v>
      </c>
      <c r="L663" s="1" t="str">
        <f t="shared" si="60"/>
        <v>2024</v>
      </c>
      <c r="M663" t="str">
        <f t="shared" si="61"/>
        <v>Jul</v>
      </c>
      <c r="N663" t="str">
        <f t="shared" si="62"/>
        <v>Fri</v>
      </c>
      <c r="O663" s="1">
        <f t="shared" si="63"/>
        <v>3</v>
      </c>
      <c r="P663" s="1">
        <f t="shared" si="64"/>
        <v>4</v>
      </c>
      <c r="Q663" s="1">
        <f>ROUND(G663*H663*VLOOKUP(D663,'Cost Product'!A$1:C$21,3,FALSE),0)</f>
        <v>2</v>
      </c>
      <c r="R663" s="1">
        <f t="shared" si="65"/>
        <v>2</v>
      </c>
    </row>
    <row r="664" spans="1:18" x14ac:dyDescent="0.25">
      <c r="A664" s="1" t="s">
        <v>1363</v>
      </c>
      <c r="B664" t="s">
        <v>1364</v>
      </c>
      <c r="C664" t="s">
        <v>26</v>
      </c>
      <c r="D664" t="s">
        <v>45</v>
      </c>
      <c r="E664" s="4">
        <v>45451</v>
      </c>
      <c r="F664" s="4">
        <v>45458</v>
      </c>
      <c r="G664" s="1">
        <v>3</v>
      </c>
      <c r="H664" s="1">
        <v>4.5</v>
      </c>
      <c r="I664" t="s">
        <v>13</v>
      </c>
      <c r="J664" t="s">
        <v>2146</v>
      </c>
      <c r="K664" t="s">
        <v>19</v>
      </c>
      <c r="L664" s="1" t="str">
        <f t="shared" si="60"/>
        <v>2024</v>
      </c>
      <c r="M664" t="str">
        <f t="shared" si="61"/>
        <v>Jun</v>
      </c>
      <c r="N664" t="str">
        <f t="shared" si="62"/>
        <v>Sat</v>
      </c>
      <c r="O664" s="1">
        <f t="shared" si="63"/>
        <v>7</v>
      </c>
      <c r="P664" s="1">
        <f t="shared" si="64"/>
        <v>13.5</v>
      </c>
      <c r="Q664" s="1">
        <f>ROUND(G664*H664*VLOOKUP(D664,'Cost Product'!A$1:C$21,3,FALSE),0)</f>
        <v>7</v>
      </c>
      <c r="R664" s="1">
        <f t="shared" si="65"/>
        <v>6.5</v>
      </c>
    </row>
    <row r="665" spans="1:18" x14ac:dyDescent="0.25">
      <c r="A665" s="1" t="s">
        <v>1365</v>
      </c>
      <c r="B665" t="s">
        <v>1366</v>
      </c>
      <c r="C665" t="s">
        <v>11</v>
      </c>
      <c r="D665" t="s">
        <v>12</v>
      </c>
      <c r="E665" s="4">
        <v>45248</v>
      </c>
      <c r="F665" s="4">
        <v>45251</v>
      </c>
      <c r="G665" s="1">
        <v>1</v>
      </c>
      <c r="H665" s="1">
        <v>6.5</v>
      </c>
      <c r="I665" t="s">
        <v>13</v>
      </c>
      <c r="J665" t="s">
        <v>2141</v>
      </c>
      <c r="K665" t="s">
        <v>14</v>
      </c>
      <c r="L665" s="1" t="str">
        <f t="shared" si="60"/>
        <v>2023</v>
      </c>
      <c r="M665" t="str">
        <f t="shared" si="61"/>
        <v>Nov</v>
      </c>
      <c r="N665" t="str">
        <f t="shared" si="62"/>
        <v>Sat</v>
      </c>
      <c r="O665" s="1">
        <f t="shared" si="63"/>
        <v>3</v>
      </c>
      <c r="P665" s="1">
        <f t="shared" si="64"/>
        <v>6.5</v>
      </c>
      <c r="Q665" s="1">
        <f>ROUND(G665*H665*VLOOKUP(D665,'Cost Product'!A$1:C$21,3,FALSE),0)</f>
        <v>4</v>
      </c>
      <c r="R665" s="1">
        <f t="shared" si="65"/>
        <v>2.5</v>
      </c>
    </row>
    <row r="666" spans="1:18" x14ac:dyDescent="0.25">
      <c r="A666" s="1" t="s">
        <v>1367</v>
      </c>
      <c r="B666" t="s">
        <v>1368</v>
      </c>
      <c r="C666" t="s">
        <v>65</v>
      </c>
      <c r="D666" t="s">
        <v>66</v>
      </c>
      <c r="E666" s="4">
        <v>45456</v>
      </c>
      <c r="F666" s="4">
        <v>45457</v>
      </c>
      <c r="G666" s="1">
        <v>3</v>
      </c>
      <c r="H666" s="1">
        <v>3.5</v>
      </c>
      <c r="I666" t="s">
        <v>13</v>
      </c>
      <c r="J666" t="s">
        <v>2144</v>
      </c>
      <c r="K666" t="s">
        <v>28</v>
      </c>
      <c r="L666" s="1" t="str">
        <f t="shared" si="60"/>
        <v>2024</v>
      </c>
      <c r="M666" t="str">
        <f t="shared" si="61"/>
        <v>Jun</v>
      </c>
      <c r="N666" t="str">
        <f t="shared" si="62"/>
        <v>Thu</v>
      </c>
      <c r="O666" s="1">
        <f t="shared" si="63"/>
        <v>1</v>
      </c>
      <c r="P666" s="1">
        <f t="shared" si="64"/>
        <v>10.5</v>
      </c>
      <c r="Q666" s="1">
        <f>ROUND(G666*H666*VLOOKUP(D666,'Cost Product'!A$1:C$21,3,FALSE),0)</f>
        <v>5</v>
      </c>
      <c r="R666" s="1">
        <f t="shared" si="65"/>
        <v>5.5</v>
      </c>
    </row>
    <row r="667" spans="1:18" x14ac:dyDescent="0.25">
      <c r="A667" s="1" t="s">
        <v>1369</v>
      </c>
      <c r="B667" t="s">
        <v>1370</v>
      </c>
      <c r="C667" t="s">
        <v>65</v>
      </c>
      <c r="D667" t="s">
        <v>115</v>
      </c>
      <c r="E667" s="4">
        <v>45270</v>
      </c>
      <c r="F667" s="4">
        <v>45276</v>
      </c>
      <c r="G667" s="1">
        <v>3</v>
      </c>
      <c r="H667" s="1">
        <v>3</v>
      </c>
      <c r="I667" t="s">
        <v>13</v>
      </c>
      <c r="J667" t="s">
        <v>2141</v>
      </c>
      <c r="K667" t="s">
        <v>28</v>
      </c>
      <c r="L667" s="1" t="str">
        <f t="shared" si="60"/>
        <v>2023</v>
      </c>
      <c r="M667" t="str">
        <f t="shared" si="61"/>
        <v>Dec</v>
      </c>
      <c r="N667" t="str">
        <f t="shared" si="62"/>
        <v>Sun</v>
      </c>
      <c r="O667" s="1">
        <f t="shared" si="63"/>
        <v>6</v>
      </c>
      <c r="P667" s="1">
        <f t="shared" si="64"/>
        <v>9</v>
      </c>
      <c r="Q667" s="1">
        <f>ROUND(G667*H667*VLOOKUP(D667,'Cost Product'!A$1:C$21,3,FALSE),0)</f>
        <v>4</v>
      </c>
      <c r="R667" s="1">
        <f t="shared" si="65"/>
        <v>5</v>
      </c>
    </row>
    <row r="668" spans="1:18" x14ac:dyDescent="0.25">
      <c r="A668" s="1" t="s">
        <v>1371</v>
      </c>
      <c r="B668" t="s">
        <v>1372</v>
      </c>
      <c r="C668" t="s">
        <v>65</v>
      </c>
      <c r="D668" t="s">
        <v>115</v>
      </c>
      <c r="E668" s="4">
        <v>45441</v>
      </c>
      <c r="F668" s="4">
        <v>45443</v>
      </c>
      <c r="G668" s="1">
        <v>5</v>
      </c>
      <c r="H668" s="1">
        <v>3</v>
      </c>
      <c r="I668" t="s">
        <v>13</v>
      </c>
      <c r="J668" t="s">
        <v>2141</v>
      </c>
      <c r="K668" t="s">
        <v>28</v>
      </c>
      <c r="L668" s="1" t="str">
        <f t="shared" si="60"/>
        <v>2024</v>
      </c>
      <c r="M668" t="str">
        <f t="shared" si="61"/>
        <v>May</v>
      </c>
      <c r="N668" t="str">
        <f t="shared" si="62"/>
        <v>Wed</v>
      </c>
      <c r="O668" s="1">
        <f t="shared" si="63"/>
        <v>2</v>
      </c>
      <c r="P668" s="1">
        <f t="shared" si="64"/>
        <v>15</v>
      </c>
      <c r="Q668" s="1">
        <f>ROUND(G668*H668*VLOOKUP(D668,'Cost Product'!A$1:C$21,3,FALSE),0)</f>
        <v>7</v>
      </c>
      <c r="R668" s="1">
        <f t="shared" si="65"/>
        <v>8</v>
      </c>
    </row>
    <row r="669" spans="1:18" x14ac:dyDescent="0.25">
      <c r="A669" s="1" t="s">
        <v>1373</v>
      </c>
      <c r="B669" t="s">
        <v>1374</v>
      </c>
      <c r="C669" t="s">
        <v>11</v>
      </c>
      <c r="D669" t="s">
        <v>39</v>
      </c>
      <c r="E669" s="4">
        <v>45427</v>
      </c>
      <c r="F669" s="4">
        <v>45436</v>
      </c>
      <c r="G669" s="1">
        <v>4</v>
      </c>
      <c r="H669" s="1">
        <v>5.75</v>
      </c>
      <c r="I669" t="s">
        <v>13</v>
      </c>
      <c r="J669" t="s">
        <v>2141</v>
      </c>
      <c r="K669" t="s">
        <v>28</v>
      </c>
      <c r="L669" s="1" t="str">
        <f t="shared" si="60"/>
        <v>2024</v>
      </c>
      <c r="M669" t="str">
        <f t="shared" si="61"/>
        <v>May</v>
      </c>
      <c r="N669" t="str">
        <f t="shared" si="62"/>
        <v>Wed</v>
      </c>
      <c r="O669" s="1">
        <f t="shared" si="63"/>
        <v>9</v>
      </c>
      <c r="P669" s="1">
        <f t="shared" si="64"/>
        <v>23</v>
      </c>
      <c r="Q669" s="1">
        <f>ROUND(G669*H669*VLOOKUP(D669,'Cost Product'!A$1:C$21,3,FALSE),0)</f>
        <v>12</v>
      </c>
      <c r="R669" s="1">
        <f t="shared" si="65"/>
        <v>11</v>
      </c>
    </row>
    <row r="670" spans="1:18" x14ac:dyDescent="0.25">
      <c r="A670" s="1" t="s">
        <v>1375</v>
      </c>
      <c r="B670" t="s">
        <v>1376</v>
      </c>
      <c r="C670" t="s">
        <v>65</v>
      </c>
      <c r="D670" t="s">
        <v>66</v>
      </c>
      <c r="E670" s="4">
        <v>45379</v>
      </c>
      <c r="F670" s="4">
        <v>45383</v>
      </c>
      <c r="G670" s="1">
        <v>4</v>
      </c>
      <c r="H670" s="1">
        <v>3.5</v>
      </c>
      <c r="I670" t="s">
        <v>13</v>
      </c>
      <c r="J670" t="s">
        <v>2141</v>
      </c>
      <c r="K670" t="s">
        <v>19</v>
      </c>
      <c r="L670" s="1" t="str">
        <f t="shared" si="60"/>
        <v>2024</v>
      </c>
      <c r="M670" t="str">
        <f t="shared" si="61"/>
        <v>Mar</v>
      </c>
      <c r="N670" t="str">
        <f t="shared" si="62"/>
        <v>Thu</v>
      </c>
      <c r="O670" s="1">
        <f t="shared" si="63"/>
        <v>4</v>
      </c>
      <c r="P670" s="1">
        <f t="shared" si="64"/>
        <v>14</v>
      </c>
      <c r="Q670" s="1">
        <f>ROUND(G670*H670*VLOOKUP(D670,'Cost Product'!A$1:C$21,3,FALSE),0)</f>
        <v>7</v>
      </c>
      <c r="R670" s="1">
        <f t="shared" si="65"/>
        <v>7</v>
      </c>
    </row>
    <row r="671" spans="1:18" x14ac:dyDescent="0.25">
      <c r="A671" s="1" t="s">
        <v>1377</v>
      </c>
      <c r="B671" t="s">
        <v>1378</v>
      </c>
      <c r="C671" t="s">
        <v>65</v>
      </c>
      <c r="D671" t="s">
        <v>120</v>
      </c>
      <c r="E671" s="4">
        <v>45490</v>
      </c>
      <c r="F671" s="4">
        <v>45491</v>
      </c>
      <c r="G671" s="1">
        <v>1</v>
      </c>
      <c r="H671" s="1">
        <v>3.75</v>
      </c>
      <c r="I671" t="s">
        <v>13</v>
      </c>
      <c r="J671" t="s">
        <v>2141</v>
      </c>
      <c r="K671" t="s">
        <v>19</v>
      </c>
      <c r="L671" s="1" t="str">
        <f t="shared" si="60"/>
        <v>2024</v>
      </c>
      <c r="M671" t="str">
        <f t="shared" si="61"/>
        <v>Jul</v>
      </c>
      <c r="N671" t="str">
        <f t="shared" si="62"/>
        <v>Wed</v>
      </c>
      <c r="O671" s="1">
        <f t="shared" si="63"/>
        <v>1</v>
      </c>
      <c r="P671" s="1">
        <f t="shared" si="64"/>
        <v>3.75</v>
      </c>
      <c r="Q671" s="1">
        <f>ROUND(G671*H671*VLOOKUP(D671,'Cost Product'!A$1:C$21,3,FALSE),0)</f>
        <v>2</v>
      </c>
      <c r="R671" s="1">
        <f t="shared" si="65"/>
        <v>1.75</v>
      </c>
    </row>
    <row r="672" spans="1:18" x14ac:dyDescent="0.25">
      <c r="A672" s="1" t="s">
        <v>1379</v>
      </c>
      <c r="B672" t="s">
        <v>1380</v>
      </c>
      <c r="C672" t="s">
        <v>17</v>
      </c>
      <c r="D672" t="s">
        <v>50</v>
      </c>
      <c r="E672" s="4">
        <v>45496</v>
      </c>
      <c r="F672" s="4">
        <v>45499</v>
      </c>
      <c r="G672" s="1">
        <v>4</v>
      </c>
      <c r="H672" s="1">
        <v>5.25</v>
      </c>
      <c r="I672" t="s">
        <v>13</v>
      </c>
      <c r="J672" t="s">
        <v>2142</v>
      </c>
      <c r="K672" t="s">
        <v>14</v>
      </c>
      <c r="L672" s="1" t="str">
        <f t="shared" si="60"/>
        <v>2024</v>
      </c>
      <c r="M672" t="str">
        <f t="shared" si="61"/>
        <v>Jul</v>
      </c>
      <c r="N672" t="str">
        <f t="shared" si="62"/>
        <v>Tue</v>
      </c>
      <c r="O672" s="1">
        <f t="shared" si="63"/>
        <v>3</v>
      </c>
      <c r="P672" s="1">
        <f t="shared" si="64"/>
        <v>21</v>
      </c>
      <c r="Q672" s="1">
        <f>ROUND(G672*H672*VLOOKUP(D672,'Cost Product'!A$1:C$21,3,FALSE),0)</f>
        <v>12</v>
      </c>
      <c r="R672" s="1">
        <f t="shared" si="65"/>
        <v>9</v>
      </c>
    </row>
    <row r="673" spans="1:18" x14ac:dyDescent="0.25">
      <c r="A673" s="1" t="s">
        <v>1381</v>
      </c>
      <c r="B673" t="s">
        <v>1382</v>
      </c>
      <c r="C673" t="s">
        <v>11</v>
      </c>
      <c r="D673" t="s">
        <v>36</v>
      </c>
      <c r="E673" s="4">
        <v>45375</v>
      </c>
      <c r="F673" s="4">
        <v>45378</v>
      </c>
      <c r="G673" s="1">
        <v>2</v>
      </c>
      <c r="H673" s="1">
        <v>6.25</v>
      </c>
      <c r="I673" t="s">
        <v>13</v>
      </c>
      <c r="J673" t="s">
        <v>2143</v>
      </c>
      <c r="K673" t="s">
        <v>19</v>
      </c>
      <c r="L673" s="1" t="str">
        <f t="shared" si="60"/>
        <v>2024</v>
      </c>
      <c r="M673" t="str">
        <f t="shared" si="61"/>
        <v>Mar</v>
      </c>
      <c r="N673" t="str">
        <f t="shared" si="62"/>
        <v>Sun</v>
      </c>
      <c r="O673" s="1">
        <f t="shared" si="63"/>
        <v>3</v>
      </c>
      <c r="P673" s="1">
        <f t="shared" si="64"/>
        <v>12.5</v>
      </c>
      <c r="Q673" s="1">
        <f>ROUND(G673*H673*VLOOKUP(D673,'Cost Product'!A$1:C$21,3,FALSE),0)</f>
        <v>7</v>
      </c>
      <c r="R673" s="1">
        <f t="shared" si="65"/>
        <v>5.5</v>
      </c>
    </row>
    <row r="674" spans="1:18" x14ac:dyDescent="0.25">
      <c r="A674" s="1" t="s">
        <v>1383</v>
      </c>
      <c r="B674" t="s">
        <v>1384</v>
      </c>
      <c r="C674" t="s">
        <v>17</v>
      </c>
      <c r="D674" t="s">
        <v>79</v>
      </c>
      <c r="E674" s="4">
        <v>45449</v>
      </c>
      <c r="F674" s="4">
        <v>45450</v>
      </c>
      <c r="G674" s="1">
        <v>2</v>
      </c>
      <c r="H674" s="1">
        <v>5</v>
      </c>
      <c r="I674" t="s">
        <v>13</v>
      </c>
      <c r="J674" t="s">
        <v>2142</v>
      </c>
      <c r="K674" t="s">
        <v>19</v>
      </c>
      <c r="L674" s="1" t="str">
        <f t="shared" si="60"/>
        <v>2024</v>
      </c>
      <c r="M674" t="str">
        <f t="shared" si="61"/>
        <v>Jun</v>
      </c>
      <c r="N674" t="str">
        <f t="shared" si="62"/>
        <v>Thu</v>
      </c>
      <c r="O674" s="1">
        <f t="shared" si="63"/>
        <v>1</v>
      </c>
      <c r="P674" s="1">
        <f t="shared" si="64"/>
        <v>10</v>
      </c>
      <c r="Q674" s="1">
        <f>ROUND(G674*H674*VLOOKUP(D674,'Cost Product'!A$1:C$21,3,FALSE),0)</f>
        <v>6</v>
      </c>
      <c r="R674" s="1">
        <f t="shared" si="65"/>
        <v>4</v>
      </c>
    </row>
    <row r="675" spans="1:18" x14ac:dyDescent="0.25">
      <c r="A675" s="1" t="s">
        <v>1385</v>
      </c>
      <c r="B675" t="s">
        <v>1386</v>
      </c>
      <c r="C675" t="s">
        <v>65</v>
      </c>
      <c r="D675" t="s">
        <v>115</v>
      </c>
      <c r="E675" s="4">
        <v>45556</v>
      </c>
      <c r="F675" s="4">
        <v>45559</v>
      </c>
      <c r="G675" s="1">
        <v>2</v>
      </c>
      <c r="H675" s="1">
        <v>3</v>
      </c>
      <c r="I675" t="s">
        <v>13</v>
      </c>
      <c r="J675" t="s">
        <v>2141</v>
      </c>
      <c r="K675" t="s">
        <v>28</v>
      </c>
      <c r="L675" s="1" t="str">
        <f t="shared" si="60"/>
        <v>2024</v>
      </c>
      <c r="M675" t="str">
        <f t="shared" si="61"/>
        <v>Sep</v>
      </c>
      <c r="N675" t="str">
        <f t="shared" si="62"/>
        <v>Sat</v>
      </c>
      <c r="O675" s="1">
        <f t="shared" si="63"/>
        <v>3</v>
      </c>
      <c r="P675" s="1">
        <f t="shared" si="64"/>
        <v>6</v>
      </c>
      <c r="Q675" s="1">
        <f>ROUND(G675*H675*VLOOKUP(D675,'Cost Product'!A$1:C$21,3,FALSE),0)</f>
        <v>3</v>
      </c>
      <c r="R675" s="1">
        <f t="shared" si="65"/>
        <v>3</v>
      </c>
    </row>
    <row r="676" spans="1:18" x14ac:dyDescent="0.25">
      <c r="A676" s="1" t="s">
        <v>1387</v>
      </c>
      <c r="B676" t="s">
        <v>1388</v>
      </c>
      <c r="C676" t="s">
        <v>65</v>
      </c>
      <c r="D676" t="s">
        <v>120</v>
      </c>
      <c r="E676" s="4">
        <v>45132</v>
      </c>
      <c r="F676" s="4">
        <v>45135</v>
      </c>
      <c r="G676" s="1">
        <v>5</v>
      </c>
      <c r="H676" s="1">
        <v>3.75</v>
      </c>
      <c r="I676" t="s">
        <v>40</v>
      </c>
      <c r="J676" t="s">
        <v>2145</v>
      </c>
      <c r="K676" t="s">
        <v>28</v>
      </c>
      <c r="L676" s="1" t="str">
        <f t="shared" si="60"/>
        <v>2023</v>
      </c>
      <c r="M676" t="str">
        <f t="shared" si="61"/>
        <v>Jul</v>
      </c>
      <c r="N676" t="str">
        <f t="shared" si="62"/>
        <v>Tue</v>
      </c>
      <c r="O676" s="1">
        <f t="shared" si="63"/>
        <v>3</v>
      </c>
      <c r="P676" s="1">
        <f t="shared" si="64"/>
        <v>18.75</v>
      </c>
      <c r="Q676" s="1">
        <f>ROUND(G676*H676*VLOOKUP(D676,'Cost Product'!A$1:C$21,3,FALSE),0)</f>
        <v>9</v>
      </c>
      <c r="R676" s="1">
        <f t="shared" si="65"/>
        <v>9.75</v>
      </c>
    </row>
    <row r="677" spans="1:18" x14ac:dyDescent="0.25">
      <c r="A677" s="1" t="s">
        <v>1389</v>
      </c>
      <c r="B677" t="s">
        <v>1390</v>
      </c>
      <c r="C677" t="s">
        <v>11</v>
      </c>
      <c r="D677" t="s">
        <v>12</v>
      </c>
      <c r="E677" s="4">
        <v>45586</v>
      </c>
      <c r="F677" s="4">
        <v>45592</v>
      </c>
      <c r="G677" s="1">
        <v>3</v>
      </c>
      <c r="H677" s="1">
        <v>6.5</v>
      </c>
      <c r="I677" t="s">
        <v>13</v>
      </c>
      <c r="J677" t="s">
        <v>2145</v>
      </c>
      <c r="K677" t="s">
        <v>19</v>
      </c>
      <c r="L677" s="1" t="str">
        <f t="shared" si="60"/>
        <v>2024</v>
      </c>
      <c r="M677" t="str">
        <f t="shared" si="61"/>
        <v>Oct</v>
      </c>
      <c r="N677" t="str">
        <f t="shared" si="62"/>
        <v>Mon</v>
      </c>
      <c r="O677" s="1">
        <f t="shared" si="63"/>
        <v>6</v>
      </c>
      <c r="P677" s="1">
        <f t="shared" si="64"/>
        <v>19.5</v>
      </c>
      <c r="Q677" s="1">
        <f>ROUND(G677*H677*VLOOKUP(D677,'Cost Product'!A$1:C$21,3,FALSE),0)</f>
        <v>11</v>
      </c>
      <c r="R677" s="1">
        <f t="shared" si="65"/>
        <v>8.5</v>
      </c>
    </row>
    <row r="678" spans="1:18" x14ac:dyDescent="0.25">
      <c r="A678" s="1" t="s">
        <v>1391</v>
      </c>
      <c r="B678" t="s">
        <v>1392</v>
      </c>
      <c r="C678" t="s">
        <v>17</v>
      </c>
      <c r="D678" t="s">
        <v>53</v>
      </c>
      <c r="E678" s="4">
        <v>45594</v>
      </c>
      <c r="F678" s="4">
        <v>45601</v>
      </c>
      <c r="G678" s="1">
        <v>2</v>
      </c>
      <c r="H678" s="1">
        <v>4.75</v>
      </c>
      <c r="I678" t="s">
        <v>13</v>
      </c>
      <c r="J678" t="s">
        <v>2141</v>
      </c>
      <c r="K678" t="s">
        <v>19</v>
      </c>
      <c r="L678" s="1" t="str">
        <f t="shared" si="60"/>
        <v>2024</v>
      </c>
      <c r="M678" t="str">
        <f t="shared" si="61"/>
        <v>Oct</v>
      </c>
      <c r="N678" t="str">
        <f t="shared" si="62"/>
        <v>Tue</v>
      </c>
      <c r="O678" s="1">
        <f t="shared" si="63"/>
        <v>7</v>
      </c>
      <c r="P678" s="1">
        <f t="shared" si="64"/>
        <v>9.5</v>
      </c>
      <c r="Q678" s="1">
        <f>ROUND(G678*H678*VLOOKUP(D678,'Cost Product'!A$1:C$21,3,FALSE),0)</f>
        <v>5</v>
      </c>
      <c r="R678" s="1">
        <f t="shared" si="65"/>
        <v>4.5</v>
      </c>
    </row>
    <row r="679" spans="1:18" x14ac:dyDescent="0.25">
      <c r="A679" s="1" t="s">
        <v>1393</v>
      </c>
      <c r="B679" t="s">
        <v>1394</v>
      </c>
      <c r="C679" t="s">
        <v>65</v>
      </c>
      <c r="D679" t="s">
        <v>66</v>
      </c>
      <c r="E679" s="4">
        <v>45235</v>
      </c>
      <c r="F679" s="4">
        <v>45237</v>
      </c>
      <c r="G679" s="1">
        <v>5</v>
      </c>
      <c r="H679" s="1">
        <v>3.5</v>
      </c>
      <c r="I679" t="s">
        <v>13</v>
      </c>
      <c r="J679" t="s">
        <v>2142</v>
      </c>
      <c r="K679" t="s">
        <v>28</v>
      </c>
      <c r="L679" s="1" t="str">
        <f t="shared" si="60"/>
        <v>2023</v>
      </c>
      <c r="M679" t="str">
        <f t="shared" si="61"/>
        <v>Nov</v>
      </c>
      <c r="N679" t="str">
        <f t="shared" si="62"/>
        <v>Sun</v>
      </c>
      <c r="O679" s="1">
        <f t="shared" si="63"/>
        <v>2</v>
      </c>
      <c r="P679" s="1">
        <f t="shared" si="64"/>
        <v>17.5</v>
      </c>
      <c r="Q679" s="1">
        <f>ROUND(G679*H679*VLOOKUP(D679,'Cost Product'!A$1:C$21,3,FALSE),0)</f>
        <v>8</v>
      </c>
      <c r="R679" s="1">
        <f t="shared" si="65"/>
        <v>9.5</v>
      </c>
    </row>
    <row r="680" spans="1:18" x14ac:dyDescent="0.25">
      <c r="A680" s="1" t="s">
        <v>1395</v>
      </c>
      <c r="B680" t="s">
        <v>1396</v>
      </c>
      <c r="C680" t="s">
        <v>26</v>
      </c>
      <c r="D680" t="s">
        <v>27</v>
      </c>
      <c r="E680" s="4">
        <v>45358</v>
      </c>
      <c r="F680" s="4">
        <v>45361</v>
      </c>
      <c r="G680" s="1">
        <v>2</v>
      </c>
      <c r="H680" s="1">
        <v>4.75</v>
      </c>
      <c r="I680" t="s">
        <v>13</v>
      </c>
      <c r="J680" t="s">
        <v>2141</v>
      </c>
      <c r="K680" t="s">
        <v>28</v>
      </c>
      <c r="L680" s="1" t="str">
        <f t="shared" si="60"/>
        <v>2024</v>
      </c>
      <c r="M680" t="str">
        <f t="shared" si="61"/>
        <v>Mar</v>
      </c>
      <c r="N680" t="str">
        <f t="shared" si="62"/>
        <v>Thu</v>
      </c>
      <c r="O680" s="1">
        <f t="shared" si="63"/>
        <v>3</v>
      </c>
      <c r="P680" s="1">
        <f t="shared" si="64"/>
        <v>9.5</v>
      </c>
      <c r="Q680" s="1">
        <f>ROUND(G680*H680*VLOOKUP(D680,'Cost Product'!A$1:C$21,3,FALSE),0)</f>
        <v>5</v>
      </c>
      <c r="R680" s="1">
        <f t="shared" si="65"/>
        <v>4.5</v>
      </c>
    </row>
    <row r="681" spans="1:18" x14ac:dyDescent="0.25">
      <c r="A681" s="1" t="s">
        <v>1397</v>
      </c>
      <c r="B681" t="s">
        <v>1398</v>
      </c>
      <c r="C681" t="s">
        <v>26</v>
      </c>
      <c r="D681" t="s">
        <v>82</v>
      </c>
      <c r="E681" s="4">
        <v>45204</v>
      </c>
      <c r="F681" s="4">
        <v>45207</v>
      </c>
      <c r="G681" s="1">
        <v>3</v>
      </c>
      <c r="H681" s="1">
        <v>4.25</v>
      </c>
      <c r="I681" t="s">
        <v>13</v>
      </c>
      <c r="J681" t="s">
        <v>2145</v>
      </c>
      <c r="K681" t="s">
        <v>14</v>
      </c>
      <c r="L681" s="1" t="str">
        <f t="shared" si="60"/>
        <v>2023</v>
      </c>
      <c r="M681" t="str">
        <f t="shared" si="61"/>
        <v>Oct</v>
      </c>
      <c r="N681" t="str">
        <f t="shared" si="62"/>
        <v>Thu</v>
      </c>
      <c r="O681" s="1">
        <f t="shared" si="63"/>
        <v>3</v>
      </c>
      <c r="P681" s="1">
        <f t="shared" si="64"/>
        <v>12.75</v>
      </c>
      <c r="Q681" s="1">
        <f>ROUND(G681*H681*VLOOKUP(D681,'Cost Product'!A$1:C$21,3,FALSE),0)</f>
        <v>6</v>
      </c>
      <c r="R681" s="1">
        <f t="shared" si="65"/>
        <v>6.75</v>
      </c>
    </row>
    <row r="682" spans="1:18" x14ac:dyDescent="0.25">
      <c r="A682" s="1" t="s">
        <v>1399</v>
      </c>
      <c r="B682" t="s">
        <v>1400</v>
      </c>
      <c r="C682" t="s">
        <v>26</v>
      </c>
      <c r="D682" t="s">
        <v>82</v>
      </c>
      <c r="E682" s="4">
        <v>45497</v>
      </c>
      <c r="F682" s="4">
        <v>45498</v>
      </c>
      <c r="G682" s="1">
        <v>2</v>
      </c>
      <c r="H682" s="1">
        <v>4.25</v>
      </c>
      <c r="I682" t="s">
        <v>40</v>
      </c>
      <c r="J682" t="s">
        <v>2146</v>
      </c>
      <c r="K682" t="s">
        <v>28</v>
      </c>
      <c r="L682" s="1" t="str">
        <f t="shared" si="60"/>
        <v>2024</v>
      </c>
      <c r="M682" t="str">
        <f t="shared" si="61"/>
        <v>Jul</v>
      </c>
      <c r="N682" t="str">
        <f t="shared" si="62"/>
        <v>Wed</v>
      </c>
      <c r="O682" s="1">
        <f t="shared" si="63"/>
        <v>1</v>
      </c>
      <c r="P682" s="1">
        <f t="shared" si="64"/>
        <v>8.5</v>
      </c>
      <c r="Q682" s="1">
        <f>ROUND(G682*H682*VLOOKUP(D682,'Cost Product'!A$1:C$21,3,FALSE),0)</f>
        <v>4</v>
      </c>
      <c r="R682" s="1">
        <f t="shared" si="65"/>
        <v>4.5</v>
      </c>
    </row>
    <row r="683" spans="1:18" x14ac:dyDescent="0.25">
      <c r="A683" s="1" t="s">
        <v>1401</v>
      </c>
      <c r="B683" t="s">
        <v>1402</v>
      </c>
      <c r="C683" t="s">
        <v>11</v>
      </c>
      <c r="D683" t="s">
        <v>12</v>
      </c>
      <c r="E683" s="4">
        <v>45110</v>
      </c>
      <c r="F683" s="4">
        <v>45113</v>
      </c>
      <c r="G683" s="1">
        <v>3</v>
      </c>
      <c r="H683" s="1">
        <v>6.5</v>
      </c>
      <c r="I683" t="s">
        <v>13</v>
      </c>
      <c r="J683" t="s">
        <v>2145</v>
      </c>
      <c r="K683" t="s">
        <v>14</v>
      </c>
      <c r="L683" s="1" t="str">
        <f t="shared" si="60"/>
        <v>2023</v>
      </c>
      <c r="M683" t="str">
        <f t="shared" si="61"/>
        <v>Jul</v>
      </c>
      <c r="N683" t="str">
        <f t="shared" si="62"/>
        <v>Mon</v>
      </c>
      <c r="O683" s="1">
        <f t="shared" si="63"/>
        <v>3</v>
      </c>
      <c r="P683" s="1">
        <f t="shared" si="64"/>
        <v>19.5</v>
      </c>
      <c r="Q683" s="1">
        <f>ROUND(G683*H683*VLOOKUP(D683,'Cost Product'!A$1:C$21,3,FALSE),0)</f>
        <v>11</v>
      </c>
      <c r="R683" s="1">
        <f t="shared" si="65"/>
        <v>8.5</v>
      </c>
    </row>
    <row r="684" spans="1:18" x14ac:dyDescent="0.25">
      <c r="A684" s="1" t="s">
        <v>1403</v>
      </c>
      <c r="B684" t="s">
        <v>1404</v>
      </c>
      <c r="C684" t="s">
        <v>17</v>
      </c>
      <c r="D684" t="s">
        <v>50</v>
      </c>
      <c r="E684" s="4">
        <v>45217</v>
      </c>
      <c r="F684" s="4">
        <v>45221</v>
      </c>
      <c r="G684" s="1">
        <v>5</v>
      </c>
      <c r="H684" s="1">
        <v>5.25</v>
      </c>
      <c r="I684" t="s">
        <v>13</v>
      </c>
      <c r="J684" t="s">
        <v>2141</v>
      </c>
      <c r="K684" t="s">
        <v>19</v>
      </c>
      <c r="L684" s="1" t="str">
        <f t="shared" si="60"/>
        <v>2023</v>
      </c>
      <c r="M684" t="str">
        <f t="shared" si="61"/>
        <v>Oct</v>
      </c>
      <c r="N684" t="str">
        <f t="shared" si="62"/>
        <v>Wed</v>
      </c>
      <c r="O684" s="1">
        <f t="shared" si="63"/>
        <v>4</v>
      </c>
      <c r="P684" s="1">
        <f t="shared" si="64"/>
        <v>26.25</v>
      </c>
      <c r="Q684" s="1">
        <f>ROUND(G684*H684*VLOOKUP(D684,'Cost Product'!A$1:C$21,3,FALSE),0)</f>
        <v>15</v>
      </c>
      <c r="R684" s="1">
        <f t="shared" si="65"/>
        <v>11.25</v>
      </c>
    </row>
    <row r="685" spans="1:18" x14ac:dyDescent="0.25">
      <c r="A685" s="1" t="s">
        <v>1405</v>
      </c>
      <c r="B685" t="s">
        <v>1406</v>
      </c>
      <c r="C685" t="s">
        <v>65</v>
      </c>
      <c r="D685" t="s">
        <v>66</v>
      </c>
      <c r="E685" s="4">
        <v>45542</v>
      </c>
      <c r="F685" s="4">
        <v>45545</v>
      </c>
      <c r="G685" s="1">
        <v>2</v>
      </c>
      <c r="H685" s="1">
        <v>3.5</v>
      </c>
      <c r="I685" t="s">
        <v>13</v>
      </c>
      <c r="J685" t="s">
        <v>2144</v>
      </c>
      <c r="K685" t="s">
        <v>19</v>
      </c>
      <c r="L685" s="1" t="str">
        <f t="shared" si="60"/>
        <v>2024</v>
      </c>
      <c r="M685" t="str">
        <f t="shared" si="61"/>
        <v>Sep</v>
      </c>
      <c r="N685" t="str">
        <f t="shared" si="62"/>
        <v>Sat</v>
      </c>
      <c r="O685" s="1">
        <f t="shared" si="63"/>
        <v>3</v>
      </c>
      <c r="P685" s="1">
        <f t="shared" si="64"/>
        <v>7</v>
      </c>
      <c r="Q685" s="1">
        <f>ROUND(G685*H685*VLOOKUP(D685,'Cost Product'!A$1:C$21,3,FALSE),0)</f>
        <v>3</v>
      </c>
      <c r="R685" s="1">
        <f t="shared" si="65"/>
        <v>4</v>
      </c>
    </row>
    <row r="686" spans="1:18" x14ac:dyDescent="0.25">
      <c r="A686" s="1" t="s">
        <v>1407</v>
      </c>
      <c r="B686" t="s">
        <v>1408</v>
      </c>
      <c r="C686" t="s">
        <v>65</v>
      </c>
      <c r="D686" t="s">
        <v>115</v>
      </c>
      <c r="E686" s="4">
        <v>45580</v>
      </c>
      <c r="F686" s="4">
        <v>45586</v>
      </c>
      <c r="G686" s="1">
        <v>3</v>
      </c>
      <c r="H686" s="1">
        <v>3</v>
      </c>
      <c r="I686" t="s">
        <v>13</v>
      </c>
      <c r="J686" t="s">
        <v>2145</v>
      </c>
      <c r="K686" t="s">
        <v>28</v>
      </c>
      <c r="L686" s="1" t="str">
        <f t="shared" si="60"/>
        <v>2024</v>
      </c>
      <c r="M686" t="str">
        <f t="shared" si="61"/>
        <v>Oct</v>
      </c>
      <c r="N686" t="str">
        <f t="shared" si="62"/>
        <v>Tue</v>
      </c>
      <c r="O686" s="1">
        <f t="shared" si="63"/>
        <v>6</v>
      </c>
      <c r="P686" s="1">
        <f t="shared" si="64"/>
        <v>9</v>
      </c>
      <c r="Q686" s="1">
        <f>ROUND(G686*H686*VLOOKUP(D686,'Cost Product'!A$1:C$21,3,FALSE),0)</f>
        <v>4</v>
      </c>
      <c r="R686" s="1">
        <f t="shared" si="65"/>
        <v>5</v>
      </c>
    </row>
    <row r="687" spans="1:18" x14ac:dyDescent="0.25">
      <c r="A687" s="1" t="s">
        <v>1409</v>
      </c>
      <c r="B687" t="s">
        <v>1410</v>
      </c>
      <c r="C687" t="s">
        <v>11</v>
      </c>
      <c r="D687" t="s">
        <v>12</v>
      </c>
      <c r="E687" s="4">
        <v>45526</v>
      </c>
      <c r="F687" s="4">
        <v>45529</v>
      </c>
      <c r="G687" s="1">
        <v>4</v>
      </c>
      <c r="H687" s="1">
        <v>6.5</v>
      </c>
      <c r="I687" t="s">
        <v>13</v>
      </c>
      <c r="J687" t="s">
        <v>2141</v>
      </c>
      <c r="K687" t="s">
        <v>28</v>
      </c>
      <c r="L687" s="1" t="str">
        <f t="shared" si="60"/>
        <v>2024</v>
      </c>
      <c r="M687" t="str">
        <f t="shared" si="61"/>
        <v>Aug</v>
      </c>
      <c r="N687" t="str">
        <f t="shared" si="62"/>
        <v>Thu</v>
      </c>
      <c r="O687" s="1">
        <f t="shared" si="63"/>
        <v>3</v>
      </c>
      <c r="P687" s="1">
        <f t="shared" si="64"/>
        <v>26</v>
      </c>
      <c r="Q687" s="1">
        <f>ROUND(G687*H687*VLOOKUP(D687,'Cost Product'!A$1:C$21,3,FALSE),0)</f>
        <v>15</v>
      </c>
      <c r="R687" s="1">
        <f t="shared" si="65"/>
        <v>11</v>
      </c>
    </row>
    <row r="688" spans="1:18" x14ac:dyDescent="0.25">
      <c r="A688" s="1" t="s">
        <v>1411</v>
      </c>
      <c r="B688" t="s">
        <v>1412</v>
      </c>
      <c r="C688" t="s">
        <v>22</v>
      </c>
      <c r="D688" t="s">
        <v>59</v>
      </c>
      <c r="E688" s="4">
        <v>45441</v>
      </c>
      <c r="F688" s="4">
        <v>45442</v>
      </c>
      <c r="G688" s="1">
        <v>1</v>
      </c>
      <c r="H688" s="1">
        <v>8.5</v>
      </c>
      <c r="I688" t="s">
        <v>13</v>
      </c>
      <c r="J688" t="s">
        <v>2144</v>
      </c>
      <c r="K688" t="s">
        <v>14</v>
      </c>
      <c r="L688" s="1" t="str">
        <f t="shared" si="60"/>
        <v>2024</v>
      </c>
      <c r="M688" t="str">
        <f t="shared" si="61"/>
        <v>May</v>
      </c>
      <c r="N688" t="str">
        <f t="shared" si="62"/>
        <v>Wed</v>
      </c>
      <c r="O688" s="1">
        <f t="shared" si="63"/>
        <v>1</v>
      </c>
      <c r="P688" s="1">
        <f t="shared" si="64"/>
        <v>8.5</v>
      </c>
      <c r="Q688" s="1">
        <f>ROUND(G688*H688*VLOOKUP(D688,'Cost Product'!A$1:C$21,3,FALSE),0)</f>
        <v>5</v>
      </c>
      <c r="R688" s="1">
        <f t="shared" si="65"/>
        <v>3.5</v>
      </c>
    </row>
    <row r="689" spans="1:18" x14ac:dyDescent="0.25">
      <c r="A689" s="1" t="s">
        <v>1413</v>
      </c>
      <c r="B689" t="s">
        <v>1414</v>
      </c>
      <c r="C689" t="s">
        <v>26</v>
      </c>
      <c r="D689" t="s">
        <v>82</v>
      </c>
      <c r="E689" s="4">
        <v>45197</v>
      </c>
      <c r="F689" s="4">
        <v>45198</v>
      </c>
      <c r="G689" s="1">
        <v>1</v>
      </c>
      <c r="H689" s="1">
        <v>4.25</v>
      </c>
      <c r="I689" t="s">
        <v>13</v>
      </c>
      <c r="J689" t="s">
        <v>2143</v>
      </c>
      <c r="K689" t="s">
        <v>28</v>
      </c>
      <c r="L689" s="1" t="str">
        <f t="shared" si="60"/>
        <v>2023</v>
      </c>
      <c r="M689" t="str">
        <f t="shared" si="61"/>
        <v>Sep</v>
      </c>
      <c r="N689" t="str">
        <f t="shared" si="62"/>
        <v>Thu</v>
      </c>
      <c r="O689" s="1">
        <f t="shared" si="63"/>
        <v>1</v>
      </c>
      <c r="P689" s="1">
        <f t="shared" si="64"/>
        <v>4.25</v>
      </c>
      <c r="Q689" s="1">
        <f>ROUND(G689*H689*VLOOKUP(D689,'Cost Product'!A$1:C$21,3,FALSE),0)</f>
        <v>2</v>
      </c>
      <c r="R689" s="1">
        <f t="shared" si="65"/>
        <v>2.25</v>
      </c>
    </row>
    <row r="690" spans="1:18" x14ac:dyDescent="0.25">
      <c r="A690" s="1" t="s">
        <v>1415</v>
      </c>
      <c r="B690" t="s">
        <v>1416</v>
      </c>
      <c r="C690" t="s">
        <v>65</v>
      </c>
      <c r="D690" t="s">
        <v>120</v>
      </c>
      <c r="E690" s="4">
        <v>45397</v>
      </c>
      <c r="F690" s="4">
        <v>45398</v>
      </c>
      <c r="G690" s="1">
        <v>5</v>
      </c>
      <c r="H690" s="1">
        <v>3.75</v>
      </c>
      <c r="I690" t="s">
        <v>13</v>
      </c>
      <c r="J690" t="s">
        <v>2143</v>
      </c>
      <c r="K690" t="s">
        <v>28</v>
      </c>
      <c r="L690" s="1" t="str">
        <f t="shared" si="60"/>
        <v>2024</v>
      </c>
      <c r="M690" t="str">
        <f t="shared" si="61"/>
        <v>Apr</v>
      </c>
      <c r="N690" t="str">
        <f t="shared" si="62"/>
        <v>Mon</v>
      </c>
      <c r="O690" s="1">
        <f t="shared" si="63"/>
        <v>1</v>
      </c>
      <c r="P690" s="1">
        <f t="shared" si="64"/>
        <v>18.75</v>
      </c>
      <c r="Q690" s="1">
        <f>ROUND(G690*H690*VLOOKUP(D690,'Cost Product'!A$1:C$21,3,FALSE),0)</f>
        <v>9</v>
      </c>
      <c r="R690" s="1">
        <f t="shared" si="65"/>
        <v>9.75</v>
      </c>
    </row>
    <row r="691" spans="1:18" x14ac:dyDescent="0.25">
      <c r="A691" s="1" t="s">
        <v>1417</v>
      </c>
      <c r="B691" t="s">
        <v>1418</v>
      </c>
      <c r="C691" t="s">
        <v>65</v>
      </c>
      <c r="D691" t="s">
        <v>66</v>
      </c>
      <c r="E691" s="4">
        <v>45217</v>
      </c>
      <c r="F691" s="4">
        <v>45219</v>
      </c>
      <c r="G691" s="1">
        <v>3</v>
      </c>
      <c r="H691" s="1">
        <v>3.5</v>
      </c>
      <c r="I691" t="s">
        <v>40</v>
      </c>
      <c r="J691" t="s">
        <v>2141</v>
      </c>
      <c r="K691" t="s">
        <v>28</v>
      </c>
      <c r="L691" s="1" t="str">
        <f t="shared" si="60"/>
        <v>2023</v>
      </c>
      <c r="M691" t="str">
        <f t="shared" si="61"/>
        <v>Oct</v>
      </c>
      <c r="N691" t="str">
        <f t="shared" si="62"/>
        <v>Wed</v>
      </c>
      <c r="O691" s="1">
        <f t="shared" si="63"/>
        <v>2</v>
      </c>
      <c r="P691" s="1">
        <f t="shared" si="64"/>
        <v>10.5</v>
      </c>
      <c r="Q691" s="1">
        <f>ROUND(G691*H691*VLOOKUP(D691,'Cost Product'!A$1:C$21,3,FALSE),0)</f>
        <v>5</v>
      </c>
      <c r="R691" s="1">
        <f t="shared" si="65"/>
        <v>5.5</v>
      </c>
    </row>
    <row r="692" spans="1:18" x14ac:dyDescent="0.25">
      <c r="A692" s="1" t="s">
        <v>1419</v>
      </c>
      <c r="B692" t="s">
        <v>1420</v>
      </c>
      <c r="C692" t="s">
        <v>22</v>
      </c>
      <c r="D692" t="s">
        <v>23</v>
      </c>
      <c r="E692" s="4">
        <v>45158</v>
      </c>
      <c r="F692" s="4">
        <v>45159</v>
      </c>
      <c r="G692" s="1">
        <v>1</v>
      </c>
      <c r="H692" s="1">
        <v>10</v>
      </c>
      <c r="I692" t="s">
        <v>40</v>
      </c>
      <c r="J692" t="s">
        <v>2144</v>
      </c>
      <c r="K692" t="s">
        <v>28</v>
      </c>
      <c r="L692" s="1" t="str">
        <f t="shared" si="60"/>
        <v>2023</v>
      </c>
      <c r="M692" t="str">
        <f t="shared" si="61"/>
        <v>Aug</v>
      </c>
      <c r="N692" t="str">
        <f t="shared" si="62"/>
        <v>Sun</v>
      </c>
      <c r="O692" s="1">
        <f t="shared" si="63"/>
        <v>1</v>
      </c>
      <c r="P692" s="1">
        <f t="shared" si="64"/>
        <v>10</v>
      </c>
      <c r="Q692" s="1">
        <f>ROUND(G692*H692*VLOOKUP(D692,'Cost Product'!A$1:C$21,3,FALSE),0)</f>
        <v>7</v>
      </c>
      <c r="R692" s="1">
        <f t="shared" si="65"/>
        <v>3</v>
      </c>
    </row>
    <row r="693" spans="1:18" x14ac:dyDescent="0.25">
      <c r="A693" s="1" t="s">
        <v>1421</v>
      </c>
      <c r="B693" t="s">
        <v>1422</v>
      </c>
      <c r="C693" t="s">
        <v>22</v>
      </c>
      <c r="D693" t="s">
        <v>23</v>
      </c>
      <c r="E693" s="4">
        <v>45110</v>
      </c>
      <c r="F693" s="4">
        <v>45113</v>
      </c>
      <c r="G693" s="1">
        <v>4</v>
      </c>
      <c r="H693" s="1">
        <v>10</v>
      </c>
      <c r="I693" t="s">
        <v>13</v>
      </c>
      <c r="J693" t="s">
        <v>2144</v>
      </c>
      <c r="K693" t="s">
        <v>14</v>
      </c>
      <c r="L693" s="1" t="str">
        <f t="shared" si="60"/>
        <v>2023</v>
      </c>
      <c r="M693" t="str">
        <f t="shared" si="61"/>
        <v>Jul</v>
      </c>
      <c r="N693" t="str">
        <f t="shared" si="62"/>
        <v>Mon</v>
      </c>
      <c r="O693" s="1">
        <f t="shared" si="63"/>
        <v>3</v>
      </c>
      <c r="P693" s="1">
        <f t="shared" si="64"/>
        <v>40</v>
      </c>
      <c r="Q693" s="1">
        <f>ROUND(G693*H693*VLOOKUP(D693,'Cost Product'!A$1:C$21,3,FALSE),0)</f>
        <v>26</v>
      </c>
      <c r="R693" s="1">
        <f t="shared" si="65"/>
        <v>14</v>
      </c>
    </row>
    <row r="694" spans="1:18" x14ac:dyDescent="0.25">
      <c r="A694" s="1" t="s">
        <v>1423</v>
      </c>
      <c r="B694" t="s">
        <v>1424</v>
      </c>
      <c r="C694" t="s">
        <v>17</v>
      </c>
      <c r="D694" t="s">
        <v>53</v>
      </c>
      <c r="E694" s="4">
        <v>45426</v>
      </c>
      <c r="F694" s="4">
        <v>45428</v>
      </c>
      <c r="G694" s="1">
        <v>4</v>
      </c>
      <c r="H694" s="1">
        <v>4.75</v>
      </c>
      <c r="I694" t="s">
        <v>13</v>
      </c>
      <c r="J694" t="s">
        <v>2142</v>
      </c>
      <c r="K694" t="s">
        <v>28</v>
      </c>
      <c r="L694" s="1" t="str">
        <f t="shared" si="60"/>
        <v>2024</v>
      </c>
      <c r="M694" t="str">
        <f t="shared" si="61"/>
        <v>May</v>
      </c>
      <c r="N694" t="str">
        <f t="shared" si="62"/>
        <v>Tue</v>
      </c>
      <c r="O694" s="1">
        <f t="shared" si="63"/>
        <v>2</v>
      </c>
      <c r="P694" s="1">
        <f t="shared" si="64"/>
        <v>19</v>
      </c>
      <c r="Q694" s="1">
        <f>ROUND(G694*H694*VLOOKUP(D694,'Cost Product'!A$1:C$21,3,FALSE),0)</f>
        <v>10</v>
      </c>
      <c r="R694" s="1">
        <f t="shared" si="65"/>
        <v>9</v>
      </c>
    </row>
    <row r="695" spans="1:18" x14ac:dyDescent="0.25">
      <c r="A695" s="1" t="s">
        <v>1425</v>
      </c>
      <c r="B695" t="s">
        <v>1426</v>
      </c>
      <c r="C695" t="s">
        <v>17</v>
      </c>
      <c r="D695" t="s">
        <v>79</v>
      </c>
      <c r="E695" s="4">
        <v>45536</v>
      </c>
      <c r="F695" s="4">
        <v>45539</v>
      </c>
      <c r="G695" s="1">
        <v>5</v>
      </c>
      <c r="H695" s="1">
        <v>5</v>
      </c>
      <c r="I695" t="s">
        <v>40</v>
      </c>
      <c r="J695" t="s">
        <v>2141</v>
      </c>
      <c r="K695" t="s">
        <v>19</v>
      </c>
      <c r="L695" s="1" t="str">
        <f t="shared" si="60"/>
        <v>2024</v>
      </c>
      <c r="M695" t="str">
        <f t="shared" si="61"/>
        <v>Sep</v>
      </c>
      <c r="N695" t="str">
        <f t="shared" si="62"/>
        <v>Sun</v>
      </c>
      <c r="O695" s="1">
        <f t="shared" si="63"/>
        <v>3</v>
      </c>
      <c r="P695" s="1">
        <f t="shared" si="64"/>
        <v>25</v>
      </c>
      <c r="Q695" s="1">
        <f>ROUND(G695*H695*VLOOKUP(D695,'Cost Product'!A$1:C$21,3,FALSE),0)</f>
        <v>14</v>
      </c>
      <c r="R695" s="1">
        <f t="shared" si="65"/>
        <v>11</v>
      </c>
    </row>
    <row r="696" spans="1:18" x14ac:dyDescent="0.25">
      <c r="A696" s="1" t="s">
        <v>1427</v>
      </c>
      <c r="B696" t="s">
        <v>1428</v>
      </c>
      <c r="C696" t="s">
        <v>65</v>
      </c>
      <c r="D696" t="s">
        <v>99</v>
      </c>
      <c r="E696" s="4">
        <v>45470</v>
      </c>
      <c r="F696" s="4">
        <v>45471</v>
      </c>
      <c r="G696" s="1">
        <v>3</v>
      </c>
      <c r="H696" s="1">
        <v>4</v>
      </c>
      <c r="I696" t="s">
        <v>13</v>
      </c>
      <c r="J696" t="s">
        <v>2146</v>
      </c>
      <c r="K696" t="s">
        <v>19</v>
      </c>
      <c r="L696" s="1" t="str">
        <f t="shared" si="60"/>
        <v>2024</v>
      </c>
      <c r="M696" t="str">
        <f t="shared" si="61"/>
        <v>Jun</v>
      </c>
      <c r="N696" t="str">
        <f t="shared" si="62"/>
        <v>Thu</v>
      </c>
      <c r="O696" s="1">
        <f t="shared" si="63"/>
        <v>1</v>
      </c>
      <c r="P696" s="1">
        <f t="shared" si="64"/>
        <v>12</v>
      </c>
      <c r="Q696" s="1">
        <f>ROUND(G696*H696*VLOOKUP(D696,'Cost Product'!A$1:C$21,3,FALSE),0)</f>
        <v>6</v>
      </c>
      <c r="R696" s="1">
        <f t="shared" si="65"/>
        <v>6</v>
      </c>
    </row>
    <row r="697" spans="1:18" x14ac:dyDescent="0.25">
      <c r="A697" s="1" t="s">
        <v>1429</v>
      </c>
      <c r="B697" t="s">
        <v>1430</v>
      </c>
      <c r="C697" t="s">
        <v>11</v>
      </c>
      <c r="D697" t="s">
        <v>39</v>
      </c>
      <c r="E697" s="4">
        <v>45412</v>
      </c>
      <c r="F697" s="4">
        <v>45423</v>
      </c>
      <c r="G697" s="1">
        <v>1</v>
      </c>
      <c r="H697" s="1">
        <v>5.75</v>
      </c>
      <c r="I697" t="s">
        <v>13</v>
      </c>
      <c r="J697" t="s">
        <v>2145</v>
      </c>
      <c r="K697" t="s">
        <v>28</v>
      </c>
      <c r="L697" s="1" t="str">
        <f t="shared" si="60"/>
        <v>2024</v>
      </c>
      <c r="M697" t="str">
        <f t="shared" si="61"/>
        <v>Apr</v>
      </c>
      <c r="N697" t="str">
        <f t="shared" si="62"/>
        <v>Tue</v>
      </c>
      <c r="O697" s="1">
        <f t="shared" si="63"/>
        <v>11</v>
      </c>
      <c r="P697" s="1">
        <f t="shared" si="64"/>
        <v>5.75</v>
      </c>
      <c r="Q697" s="1">
        <f>ROUND(G697*H697*VLOOKUP(D697,'Cost Product'!A$1:C$21,3,FALSE),0)</f>
        <v>3</v>
      </c>
      <c r="R697" s="1">
        <f t="shared" si="65"/>
        <v>2.75</v>
      </c>
    </row>
    <row r="698" spans="1:18" x14ac:dyDescent="0.25">
      <c r="A698" s="1" t="s">
        <v>1431</v>
      </c>
      <c r="B698" t="s">
        <v>1432</v>
      </c>
      <c r="C698" t="s">
        <v>11</v>
      </c>
      <c r="D698" t="s">
        <v>36</v>
      </c>
      <c r="E698" s="4">
        <v>45549</v>
      </c>
      <c r="F698" s="4">
        <v>45550</v>
      </c>
      <c r="G698" s="1">
        <v>5</v>
      </c>
      <c r="H698" s="1">
        <v>6.25</v>
      </c>
      <c r="I698" t="s">
        <v>13</v>
      </c>
      <c r="J698" t="s">
        <v>2144</v>
      </c>
      <c r="K698" t="s">
        <v>28</v>
      </c>
      <c r="L698" s="1" t="str">
        <f t="shared" si="60"/>
        <v>2024</v>
      </c>
      <c r="M698" t="str">
        <f t="shared" si="61"/>
        <v>Sep</v>
      </c>
      <c r="N698" t="str">
        <f t="shared" si="62"/>
        <v>Sat</v>
      </c>
      <c r="O698" s="1">
        <f t="shared" si="63"/>
        <v>1</v>
      </c>
      <c r="P698" s="1">
        <f t="shared" si="64"/>
        <v>31.25</v>
      </c>
      <c r="Q698" s="1">
        <f>ROUND(G698*H698*VLOOKUP(D698,'Cost Product'!A$1:C$21,3,FALSE),0)</f>
        <v>17</v>
      </c>
      <c r="R698" s="1">
        <f t="shared" si="65"/>
        <v>14.25</v>
      </c>
    </row>
    <row r="699" spans="1:18" x14ac:dyDescent="0.25">
      <c r="A699" s="1" t="s">
        <v>1433</v>
      </c>
      <c r="B699" t="s">
        <v>1434</v>
      </c>
      <c r="C699" t="s">
        <v>65</v>
      </c>
      <c r="D699" t="s">
        <v>66</v>
      </c>
      <c r="E699" s="4">
        <v>45376</v>
      </c>
      <c r="F699" s="4">
        <v>45381</v>
      </c>
      <c r="G699" s="1">
        <v>5</v>
      </c>
      <c r="H699" s="1">
        <v>3.5</v>
      </c>
      <c r="I699" t="s">
        <v>40</v>
      </c>
      <c r="J699" t="s">
        <v>2141</v>
      </c>
      <c r="K699" t="s">
        <v>28</v>
      </c>
      <c r="L699" s="1" t="str">
        <f t="shared" si="60"/>
        <v>2024</v>
      </c>
      <c r="M699" t="str">
        <f t="shared" si="61"/>
        <v>Mar</v>
      </c>
      <c r="N699" t="str">
        <f t="shared" si="62"/>
        <v>Mon</v>
      </c>
      <c r="O699" s="1">
        <f t="shared" si="63"/>
        <v>5</v>
      </c>
      <c r="P699" s="1">
        <f t="shared" si="64"/>
        <v>17.5</v>
      </c>
      <c r="Q699" s="1">
        <f>ROUND(G699*H699*VLOOKUP(D699,'Cost Product'!A$1:C$21,3,FALSE),0)</f>
        <v>8</v>
      </c>
      <c r="R699" s="1">
        <f t="shared" si="65"/>
        <v>9.5</v>
      </c>
    </row>
    <row r="700" spans="1:18" x14ac:dyDescent="0.25">
      <c r="A700" s="1" t="s">
        <v>1435</v>
      </c>
      <c r="B700" t="s">
        <v>1436</v>
      </c>
      <c r="C700" t="s">
        <v>11</v>
      </c>
      <c r="D700" t="s">
        <v>36</v>
      </c>
      <c r="E700" s="4">
        <v>45420</v>
      </c>
      <c r="F700" s="4">
        <v>45421</v>
      </c>
      <c r="G700" s="1">
        <v>4</v>
      </c>
      <c r="H700" s="1">
        <v>6.25</v>
      </c>
      <c r="I700" t="s">
        <v>13</v>
      </c>
      <c r="J700" t="s">
        <v>2142</v>
      </c>
      <c r="K700" t="s">
        <v>19</v>
      </c>
      <c r="L700" s="1" t="str">
        <f t="shared" si="60"/>
        <v>2024</v>
      </c>
      <c r="M700" t="str">
        <f t="shared" si="61"/>
        <v>May</v>
      </c>
      <c r="N700" t="str">
        <f t="shared" si="62"/>
        <v>Wed</v>
      </c>
      <c r="O700" s="1">
        <f t="shared" si="63"/>
        <v>1</v>
      </c>
      <c r="P700" s="1">
        <f t="shared" si="64"/>
        <v>25</v>
      </c>
      <c r="Q700" s="1">
        <f>ROUND(G700*H700*VLOOKUP(D700,'Cost Product'!A$1:C$21,3,FALSE),0)</f>
        <v>14</v>
      </c>
      <c r="R700" s="1">
        <f t="shared" si="65"/>
        <v>11</v>
      </c>
    </row>
    <row r="701" spans="1:18" x14ac:dyDescent="0.25">
      <c r="A701" s="1" t="s">
        <v>1437</v>
      </c>
      <c r="B701" t="s">
        <v>1438</v>
      </c>
      <c r="C701" t="s">
        <v>22</v>
      </c>
      <c r="D701" t="s">
        <v>23</v>
      </c>
      <c r="E701" s="4">
        <v>45228</v>
      </c>
      <c r="F701" s="4">
        <v>45231</v>
      </c>
      <c r="G701" s="1">
        <v>5</v>
      </c>
      <c r="H701" s="1">
        <v>10</v>
      </c>
      <c r="I701" t="s">
        <v>13</v>
      </c>
      <c r="J701" t="s">
        <v>2141</v>
      </c>
      <c r="K701" t="s">
        <v>19</v>
      </c>
      <c r="L701" s="1" t="str">
        <f t="shared" si="60"/>
        <v>2023</v>
      </c>
      <c r="M701" t="str">
        <f t="shared" si="61"/>
        <v>Oct</v>
      </c>
      <c r="N701" t="str">
        <f t="shared" si="62"/>
        <v>Sun</v>
      </c>
      <c r="O701" s="1">
        <f t="shared" si="63"/>
        <v>3</v>
      </c>
      <c r="P701" s="1">
        <f t="shared" si="64"/>
        <v>50</v>
      </c>
      <c r="Q701" s="1">
        <f>ROUND(G701*H701*VLOOKUP(D701,'Cost Product'!A$1:C$21,3,FALSE),0)</f>
        <v>33</v>
      </c>
      <c r="R701" s="1">
        <f t="shared" si="65"/>
        <v>17</v>
      </c>
    </row>
    <row r="702" spans="1:18" x14ac:dyDescent="0.25">
      <c r="A702" s="1" t="s">
        <v>1439</v>
      </c>
      <c r="B702" t="s">
        <v>1440</v>
      </c>
      <c r="C702" t="s">
        <v>17</v>
      </c>
      <c r="D702" t="s">
        <v>50</v>
      </c>
      <c r="E702" s="4">
        <v>45327</v>
      </c>
      <c r="F702" s="4">
        <v>45329</v>
      </c>
      <c r="G702" s="1">
        <v>4</v>
      </c>
      <c r="H702" s="1">
        <v>5.25</v>
      </c>
      <c r="I702" t="s">
        <v>40</v>
      </c>
      <c r="J702" t="s">
        <v>2141</v>
      </c>
      <c r="K702" t="s">
        <v>28</v>
      </c>
      <c r="L702" s="1" t="str">
        <f t="shared" si="60"/>
        <v>2024</v>
      </c>
      <c r="M702" t="str">
        <f t="shared" si="61"/>
        <v>Feb</v>
      </c>
      <c r="N702" t="str">
        <f t="shared" si="62"/>
        <v>Mon</v>
      </c>
      <c r="O702" s="1">
        <f t="shared" si="63"/>
        <v>2</v>
      </c>
      <c r="P702" s="1">
        <f t="shared" si="64"/>
        <v>21</v>
      </c>
      <c r="Q702" s="1">
        <f>ROUND(G702*H702*VLOOKUP(D702,'Cost Product'!A$1:C$21,3,FALSE),0)</f>
        <v>12</v>
      </c>
      <c r="R702" s="1">
        <f t="shared" si="65"/>
        <v>9</v>
      </c>
    </row>
    <row r="703" spans="1:18" x14ac:dyDescent="0.25">
      <c r="A703" s="1" t="s">
        <v>1441</v>
      </c>
      <c r="B703" t="s">
        <v>1442</v>
      </c>
      <c r="C703" t="s">
        <v>65</v>
      </c>
      <c r="D703" t="s">
        <v>120</v>
      </c>
      <c r="E703" s="4">
        <v>45262</v>
      </c>
      <c r="F703" s="4">
        <v>45267</v>
      </c>
      <c r="G703" s="1">
        <v>1</v>
      </c>
      <c r="H703" s="1">
        <v>3.75</v>
      </c>
      <c r="I703" t="s">
        <v>13</v>
      </c>
      <c r="J703" t="s">
        <v>2144</v>
      </c>
      <c r="K703" t="s">
        <v>14</v>
      </c>
      <c r="L703" s="1" t="str">
        <f t="shared" si="60"/>
        <v>2023</v>
      </c>
      <c r="M703" t="str">
        <f t="shared" si="61"/>
        <v>Dec</v>
      </c>
      <c r="N703" t="str">
        <f t="shared" si="62"/>
        <v>Sat</v>
      </c>
      <c r="O703" s="1">
        <f t="shared" si="63"/>
        <v>5</v>
      </c>
      <c r="P703" s="1">
        <f t="shared" si="64"/>
        <v>3.75</v>
      </c>
      <c r="Q703" s="1">
        <f>ROUND(G703*H703*VLOOKUP(D703,'Cost Product'!A$1:C$21,3,FALSE),0)</f>
        <v>2</v>
      </c>
      <c r="R703" s="1">
        <f t="shared" si="65"/>
        <v>1.75</v>
      </c>
    </row>
    <row r="704" spans="1:18" x14ac:dyDescent="0.25">
      <c r="A704" s="1" t="s">
        <v>1443</v>
      </c>
      <c r="B704" t="s">
        <v>1444</v>
      </c>
      <c r="C704" t="s">
        <v>65</v>
      </c>
      <c r="D704" t="s">
        <v>115</v>
      </c>
      <c r="E704" s="4">
        <v>45342</v>
      </c>
      <c r="F704" s="4">
        <v>45347</v>
      </c>
      <c r="G704" s="1">
        <v>1</v>
      </c>
      <c r="H704" s="1">
        <v>3</v>
      </c>
      <c r="I704" t="s">
        <v>13</v>
      </c>
      <c r="J704" t="s">
        <v>2141</v>
      </c>
      <c r="K704" t="s">
        <v>19</v>
      </c>
      <c r="L704" s="1" t="str">
        <f t="shared" si="60"/>
        <v>2024</v>
      </c>
      <c r="M704" t="str">
        <f t="shared" si="61"/>
        <v>Feb</v>
      </c>
      <c r="N704" t="str">
        <f t="shared" si="62"/>
        <v>Tue</v>
      </c>
      <c r="O704" s="1">
        <f t="shared" si="63"/>
        <v>5</v>
      </c>
      <c r="P704" s="1">
        <f t="shared" si="64"/>
        <v>3</v>
      </c>
      <c r="Q704" s="1">
        <f>ROUND(G704*H704*VLOOKUP(D704,'Cost Product'!A$1:C$21,3,FALSE),0)</f>
        <v>1</v>
      </c>
      <c r="R704" s="1">
        <f t="shared" si="65"/>
        <v>2</v>
      </c>
    </row>
    <row r="705" spans="1:18" x14ac:dyDescent="0.25">
      <c r="A705" s="1" t="s">
        <v>1445</v>
      </c>
      <c r="B705" t="s">
        <v>1446</v>
      </c>
      <c r="C705" t="s">
        <v>22</v>
      </c>
      <c r="D705" t="s">
        <v>59</v>
      </c>
      <c r="E705" s="4">
        <v>45307</v>
      </c>
      <c r="F705" s="4">
        <v>45310</v>
      </c>
      <c r="G705" s="1">
        <v>2</v>
      </c>
      <c r="H705" s="1">
        <v>8.5</v>
      </c>
      <c r="I705" t="s">
        <v>40</v>
      </c>
      <c r="J705" t="s">
        <v>2144</v>
      </c>
      <c r="K705" t="s">
        <v>28</v>
      </c>
      <c r="L705" s="1" t="str">
        <f t="shared" si="60"/>
        <v>2024</v>
      </c>
      <c r="M705" t="str">
        <f t="shared" si="61"/>
        <v>Jan</v>
      </c>
      <c r="N705" t="str">
        <f t="shared" si="62"/>
        <v>Tue</v>
      </c>
      <c r="O705" s="1">
        <f t="shared" si="63"/>
        <v>3</v>
      </c>
      <c r="P705" s="1">
        <f t="shared" si="64"/>
        <v>17</v>
      </c>
      <c r="Q705" s="1">
        <f>ROUND(G705*H705*VLOOKUP(D705,'Cost Product'!A$1:C$21,3,FALSE),0)</f>
        <v>10</v>
      </c>
      <c r="R705" s="1">
        <f t="shared" si="65"/>
        <v>7</v>
      </c>
    </row>
    <row r="706" spans="1:18" x14ac:dyDescent="0.25">
      <c r="A706" s="1" t="s">
        <v>1447</v>
      </c>
      <c r="B706" t="s">
        <v>1448</v>
      </c>
      <c r="C706" t="s">
        <v>17</v>
      </c>
      <c r="D706" t="s">
        <v>50</v>
      </c>
      <c r="E706" s="4">
        <v>45452</v>
      </c>
      <c r="F706" s="4">
        <v>45454</v>
      </c>
      <c r="G706" s="1">
        <v>4</v>
      </c>
      <c r="H706" s="1">
        <v>5.25</v>
      </c>
      <c r="I706" t="s">
        <v>13</v>
      </c>
      <c r="J706" t="s">
        <v>2142</v>
      </c>
      <c r="K706" t="s">
        <v>14</v>
      </c>
      <c r="L706" s="1" t="str">
        <f t="shared" si="60"/>
        <v>2024</v>
      </c>
      <c r="M706" t="str">
        <f t="shared" si="61"/>
        <v>Jun</v>
      </c>
      <c r="N706" t="str">
        <f t="shared" si="62"/>
        <v>Sun</v>
      </c>
      <c r="O706" s="1">
        <f t="shared" si="63"/>
        <v>2</v>
      </c>
      <c r="P706" s="1">
        <f t="shared" si="64"/>
        <v>21</v>
      </c>
      <c r="Q706" s="1">
        <f>ROUND(G706*H706*VLOOKUP(D706,'Cost Product'!A$1:C$21,3,FALSE),0)</f>
        <v>12</v>
      </c>
      <c r="R706" s="1">
        <f t="shared" si="65"/>
        <v>9</v>
      </c>
    </row>
    <row r="707" spans="1:18" x14ac:dyDescent="0.25">
      <c r="A707" s="1" t="s">
        <v>1449</v>
      </c>
      <c r="B707" t="s">
        <v>1450</v>
      </c>
      <c r="C707" t="s">
        <v>22</v>
      </c>
      <c r="D707" t="s">
        <v>23</v>
      </c>
      <c r="E707" s="4">
        <v>45156</v>
      </c>
      <c r="F707" s="4">
        <v>45166</v>
      </c>
      <c r="G707" s="1">
        <v>2</v>
      </c>
      <c r="H707" s="1">
        <v>10</v>
      </c>
      <c r="I707" t="s">
        <v>13</v>
      </c>
      <c r="J707" t="s">
        <v>2142</v>
      </c>
      <c r="K707" t="s">
        <v>19</v>
      </c>
      <c r="L707" s="1" t="str">
        <f t="shared" ref="L707:L770" si="66">TEXT(E707, "YYYY")</f>
        <v>2023</v>
      </c>
      <c r="M707" t="str">
        <f t="shared" ref="M707:M770" si="67">TEXT(E707, "MMM")</f>
        <v>Aug</v>
      </c>
      <c r="N707" t="str">
        <f t="shared" ref="N707:N770" si="68">TEXT(E707, "DDD")</f>
        <v>Fri</v>
      </c>
      <c r="O707" s="1">
        <f t="shared" ref="O707:O770" si="69">DATEDIF(E707, F707, "D")</f>
        <v>10</v>
      </c>
      <c r="P707" s="1">
        <f t="shared" ref="P707:P770" si="70">G707*H707</f>
        <v>20</v>
      </c>
      <c r="Q707" s="1">
        <f>ROUND(G707*H707*VLOOKUP(D707,'Cost Product'!A$1:C$21,3,FALSE),0)</f>
        <v>13</v>
      </c>
      <c r="R707" s="1">
        <f t="shared" ref="R707:R770" si="71">P707-Q707</f>
        <v>7</v>
      </c>
    </row>
    <row r="708" spans="1:18" x14ac:dyDescent="0.25">
      <c r="A708" s="1" t="s">
        <v>1451</v>
      </c>
      <c r="B708" t="s">
        <v>1452</v>
      </c>
      <c r="C708" t="s">
        <v>65</v>
      </c>
      <c r="D708" t="s">
        <v>120</v>
      </c>
      <c r="E708" s="4">
        <v>45498</v>
      </c>
      <c r="F708" s="4">
        <v>45510</v>
      </c>
      <c r="G708" s="1">
        <v>5</v>
      </c>
      <c r="H708" s="1">
        <v>3.75</v>
      </c>
      <c r="I708" t="s">
        <v>13</v>
      </c>
      <c r="J708" t="s">
        <v>2141</v>
      </c>
      <c r="K708" t="s">
        <v>19</v>
      </c>
      <c r="L708" s="1" t="str">
        <f t="shared" si="66"/>
        <v>2024</v>
      </c>
      <c r="M708" t="str">
        <f t="shared" si="67"/>
        <v>Jul</v>
      </c>
      <c r="N708" t="str">
        <f t="shared" si="68"/>
        <v>Thu</v>
      </c>
      <c r="O708" s="1">
        <f t="shared" si="69"/>
        <v>12</v>
      </c>
      <c r="P708" s="1">
        <f t="shared" si="70"/>
        <v>18.75</v>
      </c>
      <c r="Q708" s="1">
        <f>ROUND(G708*H708*VLOOKUP(D708,'Cost Product'!A$1:C$21,3,FALSE),0)</f>
        <v>9</v>
      </c>
      <c r="R708" s="1">
        <f t="shared" si="71"/>
        <v>9.75</v>
      </c>
    </row>
    <row r="709" spans="1:18" x14ac:dyDescent="0.25">
      <c r="A709" s="1" t="s">
        <v>1453</v>
      </c>
      <c r="B709" t="s">
        <v>1454</v>
      </c>
      <c r="C709" t="s">
        <v>11</v>
      </c>
      <c r="D709" t="s">
        <v>31</v>
      </c>
      <c r="E709" s="4">
        <v>45527</v>
      </c>
      <c r="F709" s="4">
        <v>45529</v>
      </c>
      <c r="G709" s="1">
        <v>4</v>
      </c>
      <c r="H709" s="1">
        <v>5.5</v>
      </c>
      <c r="I709" t="s">
        <v>13</v>
      </c>
      <c r="J709" t="s">
        <v>2141</v>
      </c>
      <c r="K709" t="s">
        <v>19</v>
      </c>
      <c r="L709" s="1" t="str">
        <f t="shared" si="66"/>
        <v>2024</v>
      </c>
      <c r="M709" t="str">
        <f t="shared" si="67"/>
        <v>Aug</v>
      </c>
      <c r="N709" t="str">
        <f t="shared" si="68"/>
        <v>Fri</v>
      </c>
      <c r="O709" s="1">
        <f t="shared" si="69"/>
        <v>2</v>
      </c>
      <c r="P709" s="1">
        <f t="shared" si="70"/>
        <v>22</v>
      </c>
      <c r="Q709" s="1">
        <f>ROUND(G709*H709*VLOOKUP(D709,'Cost Product'!A$1:C$21,3,FALSE),0)</f>
        <v>11</v>
      </c>
      <c r="R709" s="1">
        <f t="shared" si="71"/>
        <v>11</v>
      </c>
    </row>
    <row r="710" spans="1:18" x14ac:dyDescent="0.25">
      <c r="A710" s="1" t="s">
        <v>1455</v>
      </c>
      <c r="B710" t="s">
        <v>1456</v>
      </c>
      <c r="C710" t="s">
        <v>22</v>
      </c>
      <c r="D710" t="s">
        <v>59</v>
      </c>
      <c r="E710" s="4">
        <v>45289</v>
      </c>
      <c r="F710" s="4">
        <v>45290</v>
      </c>
      <c r="G710" s="1">
        <v>4</v>
      </c>
      <c r="H710" s="1">
        <v>8.5</v>
      </c>
      <c r="I710" t="s">
        <v>13</v>
      </c>
      <c r="J710" t="s">
        <v>2141</v>
      </c>
      <c r="K710" t="s">
        <v>28</v>
      </c>
      <c r="L710" s="1" t="str">
        <f t="shared" si="66"/>
        <v>2023</v>
      </c>
      <c r="M710" t="str">
        <f t="shared" si="67"/>
        <v>Dec</v>
      </c>
      <c r="N710" t="str">
        <f t="shared" si="68"/>
        <v>Fri</v>
      </c>
      <c r="O710" s="1">
        <f t="shared" si="69"/>
        <v>1</v>
      </c>
      <c r="P710" s="1">
        <f t="shared" si="70"/>
        <v>34</v>
      </c>
      <c r="Q710" s="1">
        <f>ROUND(G710*H710*VLOOKUP(D710,'Cost Product'!A$1:C$21,3,FALSE),0)</f>
        <v>20</v>
      </c>
      <c r="R710" s="1">
        <f t="shared" si="71"/>
        <v>14</v>
      </c>
    </row>
    <row r="711" spans="1:18" x14ac:dyDescent="0.25">
      <c r="A711" s="1" t="s">
        <v>1457</v>
      </c>
      <c r="B711" t="s">
        <v>1458</v>
      </c>
      <c r="C711" t="s">
        <v>11</v>
      </c>
      <c r="D711" t="s">
        <v>31</v>
      </c>
      <c r="E711" s="4">
        <v>45284</v>
      </c>
      <c r="F711" s="4">
        <v>45286</v>
      </c>
      <c r="G711" s="1">
        <v>5</v>
      </c>
      <c r="H711" s="1">
        <v>5.5</v>
      </c>
      <c r="I711" t="s">
        <v>13</v>
      </c>
      <c r="J711" t="s">
        <v>2142</v>
      </c>
      <c r="K711" t="s">
        <v>28</v>
      </c>
      <c r="L711" s="1" t="str">
        <f t="shared" si="66"/>
        <v>2023</v>
      </c>
      <c r="M711" t="str">
        <f t="shared" si="67"/>
        <v>Dec</v>
      </c>
      <c r="N711" t="str">
        <f t="shared" si="68"/>
        <v>Sun</v>
      </c>
      <c r="O711" s="1">
        <f t="shared" si="69"/>
        <v>2</v>
      </c>
      <c r="P711" s="1">
        <f t="shared" si="70"/>
        <v>27.5</v>
      </c>
      <c r="Q711" s="1">
        <f>ROUND(G711*H711*VLOOKUP(D711,'Cost Product'!A$1:C$21,3,FALSE),0)</f>
        <v>14</v>
      </c>
      <c r="R711" s="1">
        <f t="shared" si="71"/>
        <v>13.5</v>
      </c>
    </row>
    <row r="712" spans="1:18" x14ac:dyDescent="0.25">
      <c r="A712" s="1" t="s">
        <v>1459</v>
      </c>
      <c r="B712" t="s">
        <v>1460</v>
      </c>
      <c r="C712" t="s">
        <v>65</v>
      </c>
      <c r="D712" t="s">
        <v>115</v>
      </c>
      <c r="E712" s="4">
        <v>45137</v>
      </c>
      <c r="F712" s="4">
        <v>45139</v>
      </c>
      <c r="G712" s="1">
        <v>3</v>
      </c>
      <c r="H712" s="1">
        <v>3</v>
      </c>
      <c r="I712" t="s">
        <v>13</v>
      </c>
      <c r="J712" t="s">
        <v>2141</v>
      </c>
      <c r="K712" t="s">
        <v>19</v>
      </c>
      <c r="L712" s="1" t="str">
        <f t="shared" si="66"/>
        <v>2023</v>
      </c>
      <c r="M712" t="str">
        <f t="shared" si="67"/>
        <v>Jul</v>
      </c>
      <c r="N712" t="str">
        <f t="shared" si="68"/>
        <v>Sun</v>
      </c>
      <c r="O712" s="1">
        <f t="shared" si="69"/>
        <v>2</v>
      </c>
      <c r="P712" s="1">
        <f t="shared" si="70"/>
        <v>9</v>
      </c>
      <c r="Q712" s="1">
        <f>ROUND(G712*H712*VLOOKUP(D712,'Cost Product'!A$1:C$21,3,FALSE),0)</f>
        <v>4</v>
      </c>
      <c r="R712" s="1">
        <f t="shared" si="71"/>
        <v>5</v>
      </c>
    </row>
    <row r="713" spans="1:18" x14ac:dyDescent="0.25">
      <c r="A713" s="1" t="s">
        <v>1461</v>
      </c>
      <c r="B713" t="s">
        <v>1462</v>
      </c>
      <c r="C713" t="s">
        <v>22</v>
      </c>
      <c r="D713" t="s">
        <v>23</v>
      </c>
      <c r="E713" s="4">
        <v>45227</v>
      </c>
      <c r="F713" s="4">
        <v>45230</v>
      </c>
      <c r="G713" s="1">
        <v>5</v>
      </c>
      <c r="H713" s="1">
        <v>10</v>
      </c>
      <c r="I713" t="s">
        <v>13</v>
      </c>
      <c r="J713" t="s">
        <v>2143</v>
      </c>
      <c r="K713" t="s">
        <v>28</v>
      </c>
      <c r="L713" s="1" t="str">
        <f t="shared" si="66"/>
        <v>2023</v>
      </c>
      <c r="M713" t="str">
        <f t="shared" si="67"/>
        <v>Oct</v>
      </c>
      <c r="N713" t="str">
        <f t="shared" si="68"/>
        <v>Sat</v>
      </c>
      <c r="O713" s="1">
        <f t="shared" si="69"/>
        <v>3</v>
      </c>
      <c r="P713" s="1">
        <f t="shared" si="70"/>
        <v>50</v>
      </c>
      <c r="Q713" s="1">
        <f>ROUND(G713*H713*VLOOKUP(D713,'Cost Product'!A$1:C$21,3,FALSE),0)</f>
        <v>33</v>
      </c>
      <c r="R713" s="1">
        <f t="shared" si="71"/>
        <v>17</v>
      </c>
    </row>
    <row r="714" spans="1:18" x14ac:dyDescent="0.25">
      <c r="A714" s="1" t="s">
        <v>1463</v>
      </c>
      <c r="B714" t="s">
        <v>1464</v>
      </c>
      <c r="C714" t="s">
        <v>65</v>
      </c>
      <c r="D714" t="s">
        <v>120</v>
      </c>
      <c r="E714" s="4">
        <v>45523</v>
      </c>
      <c r="F714" s="4">
        <v>45528</v>
      </c>
      <c r="G714" s="1">
        <v>3</v>
      </c>
      <c r="H714" s="1">
        <v>3.75</v>
      </c>
      <c r="I714" t="s">
        <v>13</v>
      </c>
      <c r="J714" t="s">
        <v>2141</v>
      </c>
      <c r="K714" t="s">
        <v>28</v>
      </c>
      <c r="L714" s="1" t="str">
        <f t="shared" si="66"/>
        <v>2024</v>
      </c>
      <c r="M714" t="str">
        <f t="shared" si="67"/>
        <v>Aug</v>
      </c>
      <c r="N714" t="str">
        <f t="shared" si="68"/>
        <v>Mon</v>
      </c>
      <c r="O714" s="1">
        <f t="shared" si="69"/>
        <v>5</v>
      </c>
      <c r="P714" s="1">
        <f t="shared" si="70"/>
        <v>11.25</v>
      </c>
      <c r="Q714" s="1">
        <f>ROUND(G714*H714*VLOOKUP(D714,'Cost Product'!A$1:C$21,3,FALSE),0)</f>
        <v>6</v>
      </c>
      <c r="R714" s="1">
        <f t="shared" si="71"/>
        <v>5.25</v>
      </c>
    </row>
    <row r="715" spans="1:18" x14ac:dyDescent="0.25">
      <c r="A715" s="1" t="s">
        <v>1465</v>
      </c>
      <c r="B715" t="s">
        <v>1466</v>
      </c>
      <c r="C715" t="s">
        <v>26</v>
      </c>
      <c r="D715" t="s">
        <v>45</v>
      </c>
      <c r="E715" s="4">
        <v>45240</v>
      </c>
      <c r="F715" s="4">
        <v>45241</v>
      </c>
      <c r="G715" s="1">
        <v>4</v>
      </c>
      <c r="H715" s="1">
        <v>4.5</v>
      </c>
      <c r="I715" t="s">
        <v>13</v>
      </c>
      <c r="J715" t="s">
        <v>2143</v>
      </c>
      <c r="K715" t="s">
        <v>28</v>
      </c>
      <c r="L715" s="1" t="str">
        <f t="shared" si="66"/>
        <v>2023</v>
      </c>
      <c r="M715" t="str">
        <f t="shared" si="67"/>
        <v>Nov</v>
      </c>
      <c r="N715" t="str">
        <f t="shared" si="68"/>
        <v>Fri</v>
      </c>
      <c r="O715" s="1">
        <f t="shared" si="69"/>
        <v>1</v>
      </c>
      <c r="P715" s="1">
        <f t="shared" si="70"/>
        <v>18</v>
      </c>
      <c r="Q715" s="1">
        <f>ROUND(G715*H715*VLOOKUP(D715,'Cost Product'!A$1:C$21,3,FALSE),0)</f>
        <v>9</v>
      </c>
      <c r="R715" s="1">
        <f t="shared" si="71"/>
        <v>9</v>
      </c>
    </row>
    <row r="716" spans="1:18" x14ac:dyDescent="0.25">
      <c r="A716" s="1" t="s">
        <v>1467</v>
      </c>
      <c r="B716" t="s">
        <v>1468</v>
      </c>
      <c r="C716" t="s">
        <v>11</v>
      </c>
      <c r="D716" t="s">
        <v>31</v>
      </c>
      <c r="E716" s="4">
        <v>45564</v>
      </c>
      <c r="F716" s="4">
        <v>45565</v>
      </c>
      <c r="G716" s="1">
        <v>3</v>
      </c>
      <c r="H716" s="1">
        <v>5.5</v>
      </c>
      <c r="I716" t="s">
        <v>13</v>
      </c>
      <c r="J716" t="s">
        <v>2141</v>
      </c>
      <c r="K716" t="s">
        <v>19</v>
      </c>
      <c r="L716" s="1" t="str">
        <f t="shared" si="66"/>
        <v>2024</v>
      </c>
      <c r="M716" t="str">
        <f t="shared" si="67"/>
        <v>Sep</v>
      </c>
      <c r="N716" t="str">
        <f t="shared" si="68"/>
        <v>Sun</v>
      </c>
      <c r="O716" s="1">
        <f t="shared" si="69"/>
        <v>1</v>
      </c>
      <c r="P716" s="1">
        <f t="shared" si="70"/>
        <v>16.5</v>
      </c>
      <c r="Q716" s="1">
        <f>ROUND(G716*H716*VLOOKUP(D716,'Cost Product'!A$1:C$21,3,FALSE),0)</f>
        <v>9</v>
      </c>
      <c r="R716" s="1">
        <f t="shared" si="71"/>
        <v>7.5</v>
      </c>
    </row>
    <row r="717" spans="1:18" x14ac:dyDescent="0.25">
      <c r="A717" s="1" t="s">
        <v>1469</v>
      </c>
      <c r="B717" t="s">
        <v>1470</v>
      </c>
      <c r="C717" t="s">
        <v>65</v>
      </c>
      <c r="D717" t="s">
        <v>115</v>
      </c>
      <c r="E717" s="4">
        <v>45283</v>
      </c>
      <c r="F717" s="4">
        <v>45289</v>
      </c>
      <c r="G717" s="1">
        <v>2</v>
      </c>
      <c r="H717" s="1">
        <v>3</v>
      </c>
      <c r="I717" t="s">
        <v>13</v>
      </c>
      <c r="J717" t="s">
        <v>2144</v>
      </c>
      <c r="K717" t="s">
        <v>28</v>
      </c>
      <c r="L717" s="1" t="str">
        <f t="shared" si="66"/>
        <v>2023</v>
      </c>
      <c r="M717" t="str">
        <f t="shared" si="67"/>
        <v>Dec</v>
      </c>
      <c r="N717" t="str">
        <f t="shared" si="68"/>
        <v>Sat</v>
      </c>
      <c r="O717" s="1">
        <f t="shared" si="69"/>
        <v>6</v>
      </c>
      <c r="P717" s="1">
        <f t="shared" si="70"/>
        <v>6</v>
      </c>
      <c r="Q717" s="1">
        <f>ROUND(G717*H717*VLOOKUP(D717,'Cost Product'!A$1:C$21,3,FALSE),0)</f>
        <v>3</v>
      </c>
      <c r="R717" s="1">
        <f t="shared" si="71"/>
        <v>3</v>
      </c>
    </row>
    <row r="718" spans="1:18" x14ac:dyDescent="0.25">
      <c r="A718" s="1" t="s">
        <v>1471</v>
      </c>
      <c r="B718" t="s">
        <v>1472</v>
      </c>
      <c r="C718" t="s">
        <v>22</v>
      </c>
      <c r="D718" t="s">
        <v>59</v>
      </c>
      <c r="E718" s="4">
        <v>45248</v>
      </c>
      <c r="F718" s="4">
        <v>45249</v>
      </c>
      <c r="G718" s="1">
        <v>4</v>
      </c>
      <c r="H718" s="1">
        <v>8.5</v>
      </c>
      <c r="I718" t="s">
        <v>13</v>
      </c>
      <c r="J718" t="s">
        <v>2146</v>
      </c>
      <c r="K718" t="s">
        <v>28</v>
      </c>
      <c r="L718" s="1" t="str">
        <f t="shared" si="66"/>
        <v>2023</v>
      </c>
      <c r="M718" t="str">
        <f t="shared" si="67"/>
        <v>Nov</v>
      </c>
      <c r="N718" t="str">
        <f t="shared" si="68"/>
        <v>Sat</v>
      </c>
      <c r="O718" s="1">
        <f t="shared" si="69"/>
        <v>1</v>
      </c>
      <c r="P718" s="1">
        <f t="shared" si="70"/>
        <v>34</v>
      </c>
      <c r="Q718" s="1">
        <f>ROUND(G718*H718*VLOOKUP(D718,'Cost Product'!A$1:C$21,3,FALSE),0)</f>
        <v>20</v>
      </c>
      <c r="R718" s="1">
        <f t="shared" si="71"/>
        <v>14</v>
      </c>
    </row>
    <row r="719" spans="1:18" x14ac:dyDescent="0.25">
      <c r="A719" s="1" t="s">
        <v>1473</v>
      </c>
      <c r="B719" t="s">
        <v>1474</v>
      </c>
      <c r="C719" t="s">
        <v>22</v>
      </c>
      <c r="D719" t="s">
        <v>56</v>
      </c>
      <c r="E719" s="4">
        <v>45564</v>
      </c>
      <c r="F719" s="4">
        <v>45570</v>
      </c>
      <c r="G719" s="1">
        <v>1</v>
      </c>
      <c r="H719" s="1">
        <v>8.75</v>
      </c>
      <c r="I719" t="s">
        <v>13</v>
      </c>
      <c r="J719" t="s">
        <v>2144</v>
      </c>
      <c r="K719" t="s">
        <v>19</v>
      </c>
      <c r="L719" s="1" t="str">
        <f t="shared" si="66"/>
        <v>2024</v>
      </c>
      <c r="M719" t="str">
        <f t="shared" si="67"/>
        <v>Sep</v>
      </c>
      <c r="N719" t="str">
        <f t="shared" si="68"/>
        <v>Sun</v>
      </c>
      <c r="O719" s="1">
        <f t="shared" si="69"/>
        <v>6</v>
      </c>
      <c r="P719" s="1">
        <f t="shared" si="70"/>
        <v>8.75</v>
      </c>
      <c r="Q719" s="1">
        <f>ROUND(G719*H719*VLOOKUP(D719,'Cost Product'!A$1:C$21,3,FALSE),0)</f>
        <v>5</v>
      </c>
      <c r="R719" s="1">
        <f t="shared" si="71"/>
        <v>3.75</v>
      </c>
    </row>
    <row r="720" spans="1:18" x14ac:dyDescent="0.25">
      <c r="A720" s="1" t="s">
        <v>1475</v>
      </c>
      <c r="B720" t="s">
        <v>1476</v>
      </c>
      <c r="C720" t="s">
        <v>65</v>
      </c>
      <c r="D720" t="s">
        <v>115</v>
      </c>
      <c r="E720" s="4">
        <v>45495</v>
      </c>
      <c r="F720" s="4">
        <v>45499</v>
      </c>
      <c r="G720" s="1">
        <v>3</v>
      </c>
      <c r="H720" s="1">
        <v>3</v>
      </c>
      <c r="I720" t="s">
        <v>13</v>
      </c>
      <c r="J720" t="s">
        <v>2145</v>
      </c>
      <c r="K720" t="s">
        <v>14</v>
      </c>
      <c r="L720" s="1" t="str">
        <f t="shared" si="66"/>
        <v>2024</v>
      </c>
      <c r="M720" t="str">
        <f t="shared" si="67"/>
        <v>Jul</v>
      </c>
      <c r="N720" t="str">
        <f t="shared" si="68"/>
        <v>Mon</v>
      </c>
      <c r="O720" s="1">
        <f t="shared" si="69"/>
        <v>4</v>
      </c>
      <c r="P720" s="1">
        <f t="shared" si="70"/>
        <v>9</v>
      </c>
      <c r="Q720" s="1">
        <f>ROUND(G720*H720*VLOOKUP(D720,'Cost Product'!A$1:C$21,3,FALSE),0)</f>
        <v>4</v>
      </c>
      <c r="R720" s="1">
        <f t="shared" si="71"/>
        <v>5</v>
      </c>
    </row>
    <row r="721" spans="1:18" x14ac:dyDescent="0.25">
      <c r="A721" s="1" t="s">
        <v>1477</v>
      </c>
      <c r="B721" t="s">
        <v>1478</v>
      </c>
      <c r="C721" t="s">
        <v>11</v>
      </c>
      <c r="D721" t="s">
        <v>31</v>
      </c>
      <c r="E721" s="4">
        <v>45576</v>
      </c>
      <c r="F721" s="4">
        <v>45583</v>
      </c>
      <c r="G721" s="1">
        <v>2</v>
      </c>
      <c r="H721" s="1">
        <v>5.5</v>
      </c>
      <c r="I721" t="s">
        <v>13</v>
      </c>
      <c r="J721" t="s">
        <v>2141</v>
      </c>
      <c r="K721" t="s">
        <v>28</v>
      </c>
      <c r="L721" s="1" t="str">
        <f t="shared" si="66"/>
        <v>2024</v>
      </c>
      <c r="M721" t="str">
        <f t="shared" si="67"/>
        <v>Oct</v>
      </c>
      <c r="N721" t="str">
        <f t="shared" si="68"/>
        <v>Fri</v>
      </c>
      <c r="O721" s="1">
        <f t="shared" si="69"/>
        <v>7</v>
      </c>
      <c r="P721" s="1">
        <f t="shared" si="70"/>
        <v>11</v>
      </c>
      <c r="Q721" s="1">
        <f>ROUND(G721*H721*VLOOKUP(D721,'Cost Product'!A$1:C$21,3,FALSE),0)</f>
        <v>6</v>
      </c>
      <c r="R721" s="1">
        <f t="shared" si="71"/>
        <v>5</v>
      </c>
    </row>
    <row r="722" spans="1:18" x14ac:dyDescent="0.25">
      <c r="A722" s="1" t="s">
        <v>1479</v>
      </c>
      <c r="B722" t="s">
        <v>1480</v>
      </c>
      <c r="C722" t="s">
        <v>17</v>
      </c>
      <c r="D722" t="s">
        <v>18</v>
      </c>
      <c r="E722" s="4">
        <v>45312</v>
      </c>
      <c r="F722" s="4">
        <v>45313</v>
      </c>
      <c r="G722" s="1">
        <v>5</v>
      </c>
      <c r="H722" s="1">
        <v>5.5</v>
      </c>
      <c r="I722" t="s">
        <v>13</v>
      </c>
      <c r="J722" t="s">
        <v>2145</v>
      </c>
      <c r="K722" t="s">
        <v>14</v>
      </c>
      <c r="L722" s="1" t="str">
        <f t="shared" si="66"/>
        <v>2024</v>
      </c>
      <c r="M722" t="str">
        <f t="shared" si="67"/>
        <v>Jan</v>
      </c>
      <c r="N722" t="str">
        <f t="shared" si="68"/>
        <v>Sun</v>
      </c>
      <c r="O722" s="1">
        <f t="shared" si="69"/>
        <v>1</v>
      </c>
      <c r="P722" s="1">
        <f t="shared" si="70"/>
        <v>27.5</v>
      </c>
      <c r="Q722" s="1">
        <f>ROUND(G722*H722*VLOOKUP(D722,'Cost Product'!A$1:C$21,3,FALSE),0)</f>
        <v>17</v>
      </c>
      <c r="R722" s="1">
        <f t="shared" si="71"/>
        <v>10.5</v>
      </c>
    </row>
    <row r="723" spans="1:18" x14ac:dyDescent="0.25">
      <c r="A723" s="1" t="s">
        <v>1481</v>
      </c>
      <c r="B723" t="s">
        <v>1482</v>
      </c>
      <c r="C723" t="s">
        <v>65</v>
      </c>
      <c r="D723" t="s">
        <v>99</v>
      </c>
      <c r="E723" s="4">
        <v>45316</v>
      </c>
      <c r="F723" s="4">
        <v>45320</v>
      </c>
      <c r="G723" s="1">
        <v>1</v>
      </c>
      <c r="H723" s="1">
        <v>4</v>
      </c>
      <c r="I723" t="s">
        <v>13</v>
      </c>
      <c r="J723" t="s">
        <v>2141</v>
      </c>
      <c r="K723" t="s">
        <v>19</v>
      </c>
      <c r="L723" s="1" t="str">
        <f t="shared" si="66"/>
        <v>2024</v>
      </c>
      <c r="M723" t="str">
        <f t="shared" si="67"/>
        <v>Jan</v>
      </c>
      <c r="N723" t="str">
        <f t="shared" si="68"/>
        <v>Thu</v>
      </c>
      <c r="O723" s="1">
        <f t="shared" si="69"/>
        <v>4</v>
      </c>
      <c r="P723" s="1">
        <f t="shared" si="70"/>
        <v>4</v>
      </c>
      <c r="Q723" s="1">
        <f>ROUND(G723*H723*VLOOKUP(D723,'Cost Product'!A$1:C$21,3,FALSE),0)</f>
        <v>2</v>
      </c>
      <c r="R723" s="1">
        <f t="shared" si="71"/>
        <v>2</v>
      </c>
    </row>
    <row r="724" spans="1:18" x14ac:dyDescent="0.25">
      <c r="A724" s="1" t="s">
        <v>1483</v>
      </c>
      <c r="B724" t="s">
        <v>1484</v>
      </c>
      <c r="C724" t="s">
        <v>65</v>
      </c>
      <c r="D724" t="s">
        <v>66</v>
      </c>
      <c r="E724" s="4">
        <v>45350</v>
      </c>
      <c r="F724" s="4">
        <v>45352</v>
      </c>
      <c r="G724" s="1">
        <v>4</v>
      </c>
      <c r="H724" s="1">
        <v>3.5</v>
      </c>
      <c r="I724" t="s">
        <v>13</v>
      </c>
      <c r="J724" t="s">
        <v>2141</v>
      </c>
      <c r="K724" t="s">
        <v>19</v>
      </c>
      <c r="L724" s="1" t="str">
        <f t="shared" si="66"/>
        <v>2024</v>
      </c>
      <c r="M724" t="str">
        <f t="shared" si="67"/>
        <v>Feb</v>
      </c>
      <c r="N724" t="str">
        <f t="shared" si="68"/>
        <v>Wed</v>
      </c>
      <c r="O724" s="1">
        <f t="shared" si="69"/>
        <v>2</v>
      </c>
      <c r="P724" s="1">
        <f t="shared" si="70"/>
        <v>14</v>
      </c>
      <c r="Q724" s="1">
        <f>ROUND(G724*H724*VLOOKUP(D724,'Cost Product'!A$1:C$21,3,FALSE),0)</f>
        <v>7</v>
      </c>
      <c r="R724" s="1">
        <f t="shared" si="71"/>
        <v>7</v>
      </c>
    </row>
    <row r="725" spans="1:18" x14ac:dyDescent="0.25">
      <c r="A725" s="1" t="s">
        <v>1485</v>
      </c>
      <c r="B725" t="s">
        <v>1486</v>
      </c>
      <c r="C725" t="s">
        <v>26</v>
      </c>
      <c r="D725" t="s">
        <v>27</v>
      </c>
      <c r="E725" s="4">
        <v>45518</v>
      </c>
      <c r="F725" s="4">
        <v>45519</v>
      </c>
      <c r="G725" s="1">
        <v>5</v>
      </c>
      <c r="H725" s="1">
        <v>4.75</v>
      </c>
      <c r="I725" t="s">
        <v>13</v>
      </c>
      <c r="J725" t="s">
        <v>2144</v>
      </c>
      <c r="K725" t="s">
        <v>19</v>
      </c>
      <c r="L725" s="1" t="str">
        <f t="shared" si="66"/>
        <v>2024</v>
      </c>
      <c r="M725" t="str">
        <f t="shared" si="67"/>
        <v>Aug</v>
      </c>
      <c r="N725" t="str">
        <f t="shared" si="68"/>
        <v>Wed</v>
      </c>
      <c r="O725" s="1">
        <f t="shared" si="69"/>
        <v>1</v>
      </c>
      <c r="P725" s="1">
        <f t="shared" si="70"/>
        <v>23.75</v>
      </c>
      <c r="Q725" s="1">
        <f>ROUND(G725*H725*VLOOKUP(D725,'Cost Product'!A$1:C$21,3,FALSE),0)</f>
        <v>13</v>
      </c>
      <c r="R725" s="1">
        <f t="shared" si="71"/>
        <v>10.75</v>
      </c>
    </row>
    <row r="726" spans="1:18" x14ac:dyDescent="0.25">
      <c r="A726" s="1" t="s">
        <v>1487</v>
      </c>
      <c r="B726" t="s">
        <v>1488</v>
      </c>
      <c r="C726" t="s">
        <v>11</v>
      </c>
      <c r="D726" t="s">
        <v>31</v>
      </c>
      <c r="E726" s="4">
        <v>45575</v>
      </c>
      <c r="F726" s="4">
        <v>45581</v>
      </c>
      <c r="G726" s="1">
        <v>4</v>
      </c>
      <c r="H726" s="1">
        <v>5.5</v>
      </c>
      <c r="I726" t="s">
        <v>13</v>
      </c>
      <c r="J726" t="s">
        <v>2141</v>
      </c>
      <c r="K726" t="s">
        <v>19</v>
      </c>
      <c r="L726" s="1" t="str">
        <f t="shared" si="66"/>
        <v>2024</v>
      </c>
      <c r="M726" t="str">
        <f t="shared" si="67"/>
        <v>Oct</v>
      </c>
      <c r="N726" t="str">
        <f t="shared" si="68"/>
        <v>Thu</v>
      </c>
      <c r="O726" s="1">
        <f t="shared" si="69"/>
        <v>6</v>
      </c>
      <c r="P726" s="1">
        <f t="shared" si="70"/>
        <v>22</v>
      </c>
      <c r="Q726" s="1">
        <f>ROUND(G726*H726*VLOOKUP(D726,'Cost Product'!A$1:C$21,3,FALSE),0)</f>
        <v>11</v>
      </c>
      <c r="R726" s="1">
        <f t="shared" si="71"/>
        <v>11</v>
      </c>
    </row>
    <row r="727" spans="1:18" x14ac:dyDescent="0.25">
      <c r="A727" s="1" t="s">
        <v>1489</v>
      </c>
      <c r="B727" t="s">
        <v>1490</v>
      </c>
      <c r="C727" t="s">
        <v>26</v>
      </c>
      <c r="D727" t="s">
        <v>82</v>
      </c>
      <c r="E727" s="4">
        <v>45505</v>
      </c>
      <c r="F727" s="4">
        <v>45507</v>
      </c>
      <c r="G727" s="1">
        <v>5</v>
      </c>
      <c r="H727" s="1">
        <v>4.25</v>
      </c>
      <c r="I727" t="s">
        <v>13</v>
      </c>
      <c r="J727" t="s">
        <v>2142</v>
      </c>
      <c r="K727" t="s">
        <v>28</v>
      </c>
      <c r="L727" s="1" t="str">
        <f t="shared" si="66"/>
        <v>2024</v>
      </c>
      <c r="M727" t="str">
        <f t="shared" si="67"/>
        <v>Aug</v>
      </c>
      <c r="N727" t="str">
        <f t="shared" si="68"/>
        <v>Thu</v>
      </c>
      <c r="O727" s="1">
        <f t="shared" si="69"/>
        <v>2</v>
      </c>
      <c r="P727" s="1">
        <f t="shared" si="70"/>
        <v>21.25</v>
      </c>
      <c r="Q727" s="1">
        <f>ROUND(G727*H727*VLOOKUP(D727,'Cost Product'!A$1:C$21,3,FALSE),0)</f>
        <v>10</v>
      </c>
      <c r="R727" s="1">
        <f t="shared" si="71"/>
        <v>11.25</v>
      </c>
    </row>
    <row r="728" spans="1:18" x14ac:dyDescent="0.25">
      <c r="A728" s="1" t="s">
        <v>1491</v>
      </c>
      <c r="B728" t="s">
        <v>1492</v>
      </c>
      <c r="C728" t="s">
        <v>22</v>
      </c>
      <c r="D728" t="s">
        <v>23</v>
      </c>
      <c r="E728" s="4">
        <v>45544</v>
      </c>
      <c r="F728" s="4">
        <v>45546</v>
      </c>
      <c r="G728" s="1">
        <v>5</v>
      </c>
      <c r="H728" s="1">
        <v>10</v>
      </c>
      <c r="I728" t="s">
        <v>13</v>
      </c>
      <c r="J728" t="s">
        <v>2142</v>
      </c>
      <c r="K728" t="s">
        <v>19</v>
      </c>
      <c r="L728" s="1" t="str">
        <f t="shared" si="66"/>
        <v>2024</v>
      </c>
      <c r="M728" t="str">
        <f t="shared" si="67"/>
        <v>Sep</v>
      </c>
      <c r="N728" t="str">
        <f t="shared" si="68"/>
        <v>Mon</v>
      </c>
      <c r="O728" s="1">
        <f t="shared" si="69"/>
        <v>2</v>
      </c>
      <c r="P728" s="1">
        <f t="shared" si="70"/>
        <v>50</v>
      </c>
      <c r="Q728" s="1">
        <f>ROUND(G728*H728*VLOOKUP(D728,'Cost Product'!A$1:C$21,3,FALSE),0)</f>
        <v>33</v>
      </c>
      <c r="R728" s="1">
        <f t="shared" si="71"/>
        <v>17</v>
      </c>
    </row>
    <row r="729" spans="1:18" x14ac:dyDescent="0.25">
      <c r="A729" s="1" t="s">
        <v>1493</v>
      </c>
      <c r="B729" t="s">
        <v>1494</v>
      </c>
      <c r="C729" t="s">
        <v>26</v>
      </c>
      <c r="D729" t="s">
        <v>82</v>
      </c>
      <c r="E729" s="4">
        <v>45460</v>
      </c>
      <c r="F729" s="4">
        <v>45461</v>
      </c>
      <c r="G729" s="1">
        <v>1</v>
      </c>
      <c r="H729" s="1">
        <v>4.25</v>
      </c>
      <c r="I729" t="s">
        <v>13</v>
      </c>
      <c r="J729" t="s">
        <v>2141</v>
      </c>
      <c r="K729" t="s">
        <v>14</v>
      </c>
      <c r="L729" s="1" t="str">
        <f t="shared" si="66"/>
        <v>2024</v>
      </c>
      <c r="M729" t="str">
        <f t="shared" si="67"/>
        <v>Jun</v>
      </c>
      <c r="N729" t="str">
        <f t="shared" si="68"/>
        <v>Mon</v>
      </c>
      <c r="O729" s="1">
        <f t="shared" si="69"/>
        <v>1</v>
      </c>
      <c r="P729" s="1">
        <f t="shared" si="70"/>
        <v>4.25</v>
      </c>
      <c r="Q729" s="1">
        <f>ROUND(G729*H729*VLOOKUP(D729,'Cost Product'!A$1:C$21,3,FALSE),0)</f>
        <v>2</v>
      </c>
      <c r="R729" s="1">
        <f t="shared" si="71"/>
        <v>2.25</v>
      </c>
    </row>
    <row r="730" spans="1:18" x14ac:dyDescent="0.25">
      <c r="A730" s="1" t="s">
        <v>1495</v>
      </c>
      <c r="B730" t="s">
        <v>1496</v>
      </c>
      <c r="C730" t="s">
        <v>17</v>
      </c>
      <c r="D730" t="s">
        <v>18</v>
      </c>
      <c r="E730" s="4">
        <v>45358</v>
      </c>
      <c r="F730" s="4">
        <v>45361</v>
      </c>
      <c r="G730" s="1">
        <v>3</v>
      </c>
      <c r="H730" s="1">
        <v>5.5</v>
      </c>
      <c r="I730" t="s">
        <v>13</v>
      </c>
      <c r="J730" t="s">
        <v>2142</v>
      </c>
      <c r="K730" t="s">
        <v>19</v>
      </c>
      <c r="L730" s="1" t="str">
        <f t="shared" si="66"/>
        <v>2024</v>
      </c>
      <c r="M730" t="str">
        <f t="shared" si="67"/>
        <v>Mar</v>
      </c>
      <c r="N730" t="str">
        <f t="shared" si="68"/>
        <v>Thu</v>
      </c>
      <c r="O730" s="1">
        <f t="shared" si="69"/>
        <v>3</v>
      </c>
      <c r="P730" s="1">
        <f t="shared" si="70"/>
        <v>16.5</v>
      </c>
      <c r="Q730" s="1">
        <f>ROUND(G730*H730*VLOOKUP(D730,'Cost Product'!A$1:C$21,3,FALSE),0)</f>
        <v>10</v>
      </c>
      <c r="R730" s="1">
        <f t="shared" si="71"/>
        <v>6.5</v>
      </c>
    </row>
    <row r="731" spans="1:18" x14ac:dyDescent="0.25">
      <c r="A731" s="1" t="s">
        <v>1497</v>
      </c>
      <c r="B731" t="s">
        <v>1498</v>
      </c>
      <c r="C731" t="s">
        <v>17</v>
      </c>
      <c r="D731" t="s">
        <v>53</v>
      </c>
      <c r="E731" s="4">
        <v>45195</v>
      </c>
      <c r="F731" s="4">
        <v>45204</v>
      </c>
      <c r="G731" s="1">
        <v>4</v>
      </c>
      <c r="H731" s="1">
        <v>4.75</v>
      </c>
      <c r="I731" t="s">
        <v>13</v>
      </c>
      <c r="J731" t="s">
        <v>2144</v>
      </c>
      <c r="K731" t="s">
        <v>19</v>
      </c>
      <c r="L731" s="1" t="str">
        <f t="shared" si="66"/>
        <v>2023</v>
      </c>
      <c r="M731" t="str">
        <f t="shared" si="67"/>
        <v>Sep</v>
      </c>
      <c r="N731" t="str">
        <f t="shared" si="68"/>
        <v>Tue</v>
      </c>
      <c r="O731" s="1">
        <f t="shared" si="69"/>
        <v>9</v>
      </c>
      <c r="P731" s="1">
        <f t="shared" si="70"/>
        <v>19</v>
      </c>
      <c r="Q731" s="1">
        <f>ROUND(G731*H731*VLOOKUP(D731,'Cost Product'!A$1:C$21,3,FALSE),0)</f>
        <v>10</v>
      </c>
      <c r="R731" s="1">
        <f t="shared" si="71"/>
        <v>9</v>
      </c>
    </row>
    <row r="732" spans="1:18" x14ac:dyDescent="0.25">
      <c r="A732" s="1" t="s">
        <v>1499</v>
      </c>
      <c r="B732" t="s">
        <v>1500</v>
      </c>
      <c r="C732" t="s">
        <v>11</v>
      </c>
      <c r="D732" t="s">
        <v>31</v>
      </c>
      <c r="E732" s="4">
        <v>45265</v>
      </c>
      <c r="F732" s="4">
        <v>45268</v>
      </c>
      <c r="G732" s="1">
        <v>3</v>
      </c>
      <c r="H732" s="1">
        <v>5.5</v>
      </c>
      <c r="I732" t="s">
        <v>13</v>
      </c>
      <c r="J732" t="s">
        <v>2141</v>
      </c>
      <c r="K732" t="s">
        <v>14</v>
      </c>
      <c r="L732" s="1" t="str">
        <f t="shared" si="66"/>
        <v>2023</v>
      </c>
      <c r="M732" t="str">
        <f t="shared" si="67"/>
        <v>Dec</v>
      </c>
      <c r="N732" t="str">
        <f t="shared" si="68"/>
        <v>Tue</v>
      </c>
      <c r="O732" s="1">
        <f t="shared" si="69"/>
        <v>3</v>
      </c>
      <c r="P732" s="1">
        <f t="shared" si="70"/>
        <v>16.5</v>
      </c>
      <c r="Q732" s="1">
        <f>ROUND(G732*H732*VLOOKUP(D732,'Cost Product'!A$1:C$21,3,FALSE),0)</f>
        <v>9</v>
      </c>
      <c r="R732" s="1">
        <f t="shared" si="71"/>
        <v>7.5</v>
      </c>
    </row>
    <row r="733" spans="1:18" x14ac:dyDescent="0.25">
      <c r="A733" s="1" t="s">
        <v>1501</v>
      </c>
      <c r="B733" t="s">
        <v>1502</v>
      </c>
      <c r="C733" t="s">
        <v>26</v>
      </c>
      <c r="D733" t="s">
        <v>45</v>
      </c>
      <c r="E733" s="4">
        <v>45374</v>
      </c>
      <c r="F733" s="4">
        <v>45385</v>
      </c>
      <c r="G733" s="1">
        <v>5</v>
      </c>
      <c r="H733" s="1">
        <v>4.5</v>
      </c>
      <c r="I733" t="s">
        <v>13</v>
      </c>
      <c r="J733" t="s">
        <v>2142</v>
      </c>
      <c r="K733" t="s">
        <v>19</v>
      </c>
      <c r="L733" s="1" t="str">
        <f t="shared" si="66"/>
        <v>2024</v>
      </c>
      <c r="M733" t="str">
        <f t="shared" si="67"/>
        <v>Mar</v>
      </c>
      <c r="N733" t="str">
        <f t="shared" si="68"/>
        <v>Sat</v>
      </c>
      <c r="O733" s="1">
        <f t="shared" si="69"/>
        <v>11</v>
      </c>
      <c r="P733" s="1">
        <f t="shared" si="70"/>
        <v>22.5</v>
      </c>
      <c r="Q733" s="1">
        <f>ROUND(G733*H733*VLOOKUP(D733,'Cost Product'!A$1:C$21,3,FALSE),0)</f>
        <v>12</v>
      </c>
      <c r="R733" s="1">
        <f t="shared" si="71"/>
        <v>10.5</v>
      </c>
    </row>
    <row r="734" spans="1:18" x14ac:dyDescent="0.25">
      <c r="A734" s="1" t="s">
        <v>1503</v>
      </c>
      <c r="B734" t="s">
        <v>1504</v>
      </c>
      <c r="C734" t="s">
        <v>65</v>
      </c>
      <c r="D734" t="s">
        <v>66</v>
      </c>
      <c r="E734" s="4">
        <v>45155</v>
      </c>
      <c r="F734" s="4">
        <v>45158</v>
      </c>
      <c r="G734" s="1">
        <v>2</v>
      </c>
      <c r="H734" s="1">
        <v>3.5</v>
      </c>
      <c r="I734" t="s">
        <v>13</v>
      </c>
      <c r="J734" t="s">
        <v>2141</v>
      </c>
      <c r="K734" t="s">
        <v>28</v>
      </c>
      <c r="L734" s="1" t="str">
        <f t="shared" si="66"/>
        <v>2023</v>
      </c>
      <c r="M734" t="str">
        <f t="shared" si="67"/>
        <v>Aug</v>
      </c>
      <c r="N734" t="str">
        <f t="shared" si="68"/>
        <v>Thu</v>
      </c>
      <c r="O734" s="1">
        <f t="shared" si="69"/>
        <v>3</v>
      </c>
      <c r="P734" s="1">
        <f t="shared" si="70"/>
        <v>7</v>
      </c>
      <c r="Q734" s="1">
        <f>ROUND(G734*H734*VLOOKUP(D734,'Cost Product'!A$1:C$21,3,FALSE),0)</f>
        <v>3</v>
      </c>
      <c r="R734" s="1">
        <f t="shared" si="71"/>
        <v>4</v>
      </c>
    </row>
    <row r="735" spans="1:18" x14ac:dyDescent="0.25">
      <c r="A735" s="1" t="s">
        <v>1505</v>
      </c>
      <c r="B735" t="s">
        <v>1506</v>
      </c>
      <c r="C735" t="s">
        <v>65</v>
      </c>
      <c r="D735" t="s">
        <v>115</v>
      </c>
      <c r="E735" s="4">
        <v>45197</v>
      </c>
      <c r="F735" s="4">
        <v>45200</v>
      </c>
      <c r="G735" s="1">
        <v>4</v>
      </c>
      <c r="H735" s="1">
        <v>3</v>
      </c>
      <c r="I735" t="s">
        <v>13</v>
      </c>
      <c r="J735" t="s">
        <v>2142</v>
      </c>
      <c r="K735" t="s">
        <v>19</v>
      </c>
      <c r="L735" s="1" t="str">
        <f t="shared" si="66"/>
        <v>2023</v>
      </c>
      <c r="M735" t="str">
        <f t="shared" si="67"/>
        <v>Sep</v>
      </c>
      <c r="N735" t="str">
        <f t="shared" si="68"/>
        <v>Thu</v>
      </c>
      <c r="O735" s="1">
        <f t="shared" si="69"/>
        <v>3</v>
      </c>
      <c r="P735" s="1">
        <f t="shared" si="70"/>
        <v>12</v>
      </c>
      <c r="Q735" s="1">
        <f>ROUND(G735*H735*VLOOKUP(D735,'Cost Product'!A$1:C$21,3,FALSE),0)</f>
        <v>6</v>
      </c>
      <c r="R735" s="1">
        <f t="shared" si="71"/>
        <v>6</v>
      </c>
    </row>
    <row r="736" spans="1:18" x14ac:dyDescent="0.25">
      <c r="A736" s="1" t="s">
        <v>1507</v>
      </c>
      <c r="B736" t="s">
        <v>1508</v>
      </c>
      <c r="C736" t="s">
        <v>65</v>
      </c>
      <c r="D736" t="s">
        <v>115</v>
      </c>
      <c r="E736" s="4">
        <v>45447</v>
      </c>
      <c r="F736" s="4">
        <v>45449</v>
      </c>
      <c r="G736" s="1">
        <v>1</v>
      </c>
      <c r="H736" s="1">
        <v>3</v>
      </c>
      <c r="I736" t="s">
        <v>40</v>
      </c>
      <c r="J736" t="s">
        <v>2144</v>
      </c>
      <c r="K736" t="s">
        <v>28</v>
      </c>
      <c r="L736" s="1" t="str">
        <f t="shared" si="66"/>
        <v>2024</v>
      </c>
      <c r="M736" t="str">
        <f t="shared" si="67"/>
        <v>Jun</v>
      </c>
      <c r="N736" t="str">
        <f t="shared" si="68"/>
        <v>Tue</v>
      </c>
      <c r="O736" s="1">
        <f t="shared" si="69"/>
        <v>2</v>
      </c>
      <c r="P736" s="1">
        <f t="shared" si="70"/>
        <v>3</v>
      </c>
      <c r="Q736" s="1">
        <f>ROUND(G736*H736*VLOOKUP(D736,'Cost Product'!A$1:C$21,3,FALSE),0)</f>
        <v>1</v>
      </c>
      <c r="R736" s="1">
        <f t="shared" si="71"/>
        <v>2</v>
      </c>
    </row>
    <row r="737" spans="1:18" x14ac:dyDescent="0.25">
      <c r="A737" s="1" t="s">
        <v>1509</v>
      </c>
      <c r="B737" t="s">
        <v>1510</v>
      </c>
      <c r="C737" t="s">
        <v>17</v>
      </c>
      <c r="D737" t="s">
        <v>53</v>
      </c>
      <c r="E737" s="4">
        <v>45215</v>
      </c>
      <c r="F737" s="4">
        <v>45217</v>
      </c>
      <c r="G737" s="1">
        <v>2</v>
      </c>
      <c r="H737" s="1">
        <v>4.75</v>
      </c>
      <c r="I737" t="s">
        <v>13</v>
      </c>
      <c r="J737" t="s">
        <v>2142</v>
      </c>
      <c r="K737" t="s">
        <v>19</v>
      </c>
      <c r="L737" s="1" t="str">
        <f t="shared" si="66"/>
        <v>2023</v>
      </c>
      <c r="M737" t="str">
        <f t="shared" si="67"/>
        <v>Oct</v>
      </c>
      <c r="N737" t="str">
        <f t="shared" si="68"/>
        <v>Mon</v>
      </c>
      <c r="O737" s="1">
        <f t="shared" si="69"/>
        <v>2</v>
      </c>
      <c r="P737" s="1">
        <f t="shared" si="70"/>
        <v>9.5</v>
      </c>
      <c r="Q737" s="1">
        <f>ROUND(G737*H737*VLOOKUP(D737,'Cost Product'!A$1:C$21,3,FALSE),0)</f>
        <v>5</v>
      </c>
      <c r="R737" s="1">
        <f t="shared" si="71"/>
        <v>4.5</v>
      </c>
    </row>
    <row r="738" spans="1:18" x14ac:dyDescent="0.25">
      <c r="A738" s="1" t="s">
        <v>1511</v>
      </c>
      <c r="B738" t="s">
        <v>1512</v>
      </c>
      <c r="C738" t="s">
        <v>22</v>
      </c>
      <c r="D738" t="s">
        <v>59</v>
      </c>
      <c r="E738" s="4">
        <v>45429</v>
      </c>
      <c r="F738" s="4">
        <v>45441</v>
      </c>
      <c r="G738" s="1">
        <v>4</v>
      </c>
      <c r="H738" s="1">
        <v>8.5</v>
      </c>
      <c r="I738" t="s">
        <v>13</v>
      </c>
      <c r="J738" t="s">
        <v>2142</v>
      </c>
      <c r="K738" t="s">
        <v>14</v>
      </c>
      <c r="L738" s="1" t="str">
        <f t="shared" si="66"/>
        <v>2024</v>
      </c>
      <c r="M738" t="str">
        <f t="shared" si="67"/>
        <v>May</v>
      </c>
      <c r="N738" t="str">
        <f t="shared" si="68"/>
        <v>Fri</v>
      </c>
      <c r="O738" s="1">
        <f t="shared" si="69"/>
        <v>12</v>
      </c>
      <c r="P738" s="1">
        <f t="shared" si="70"/>
        <v>34</v>
      </c>
      <c r="Q738" s="1">
        <f>ROUND(G738*H738*VLOOKUP(D738,'Cost Product'!A$1:C$21,3,FALSE),0)</f>
        <v>20</v>
      </c>
      <c r="R738" s="1">
        <f t="shared" si="71"/>
        <v>14</v>
      </c>
    </row>
    <row r="739" spans="1:18" x14ac:dyDescent="0.25">
      <c r="A739" s="1" t="s">
        <v>1513</v>
      </c>
      <c r="B739" t="s">
        <v>1514</v>
      </c>
      <c r="C739" t="s">
        <v>17</v>
      </c>
      <c r="D739" t="s">
        <v>18</v>
      </c>
      <c r="E739" s="4">
        <v>45291</v>
      </c>
      <c r="F739" s="4">
        <v>45294</v>
      </c>
      <c r="G739" s="1">
        <v>4</v>
      </c>
      <c r="H739" s="1">
        <v>5.5</v>
      </c>
      <c r="I739" t="s">
        <v>13</v>
      </c>
      <c r="J739" t="s">
        <v>2142</v>
      </c>
      <c r="K739" t="s">
        <v>19</v>
      </c>
      <c r="L739" s="1" t="str">
        <f t="shared" si="66"/>
        <v>2023</v>
      </c>
      <c r="M739" t="str">
        <f t="shared" si="67"/>
        <v>Dec</v>
      </c>
      <c r="N739" t="str">
        <f t="shared" si="68"/>
        <v>Sun</v>
      </c>
      <c r="O739" s="1">
        <f t="shared" si="69"/>
        <v>3</v>
      </c>
      <c r="P739" s="1">
        <f t="shared" si="70"/>
        <v>22</v>
      </c>
      <c r="Q739" s="1">
        <f>ROUND(G739*H739*VLOOKUP(D739,'Cost Product'!A$1:C$21,3,FALSE),0)</f>
        <v>13</v>
      </c>
      <c r="R739" s="1">
        <f t="shared" si="71"/>
        <v>9</v>
      </c>
    </row>
    <row r="740" spans="1:18" x14ac:dyDescent="0.25">
      <c r="A740" s="1" t="s">
        <v>1515</v>
      </c>
      <c r="B740" t="s">
        <v>1516</v>
      </c>
      <c r="C740" t="s">
        <v>11</v>
      </c>
      <c r="D740" t="s">
        <v>12</v>
      </c>
      <c r="E740" s="4">
        <v>45163</v>
      </c>
      <c r="F740" s="4">
        <v>45166</v>
      </c>
      <c r="G740" s="1">
        <v>3</v>
      </c>
      <c r="H740" s="1">
        <v>6.5</v>
      </c>
      <c r="I740" t="s">
        <v>13</v>
      </c>
      <c r="J740" t="s">
        <v>2141</v>
      </c>
      <c r="K740" t="s">
        <v>14</v>
      </c>
      <c r="L740" s="1" t="str">
        <f t="shared" si="66"/>
        <v>2023</v>
      </c>
      <c r="M740" t="str">
        <f t="shared" si="67"/>
        <v>Aug</v>
      </c>
      <c r="N740" t="str">
        <f t="shared" si="68"/>
        <v>Fri</v>
      </c>
      <c r="O740" s="1">
        <f t="shared" si="69"/>
        <v>3</v>
      </c>
      <c r="P740" s="1">
        <f t="shared" si="70"/>
        <v>19.5</v>
      </c>
      <c r="Q740" s="1">
        <f>ROUND(G740*H740*VLOOKUP(D740,'Cost Product'!A$1:C$21,3,FALSE),0)</f>
        <v>11</v>
      </c>
      <c r="R740" s="1">
        <f t="shared" si="71"/>
        <v>8.5</v>
      </c>
    </row>
    <row r="741" spans="1:18" x14ac:dyDescent="0.25">
      <c r="A741" s="1" t="s">
        <v>1517</v>
      </c>
      <c r="B741" t="s">
        <v>1518</v>
      </c>
      <c r="C741" t="s">
        <v>11</v>
      </c>
      <c r="D741" t="s">
        <v>31</v>
      </c>
      <c r="E741" s="4">
        <v>45504</v>
      </c>
      <c r="F741" s="4">
        <v>45506</v>
      </c>
      <c r="G741" s="1">
        <v>2</v>
      </c>
      <c r="H741" s="1">
        <v>5.5</v>
      </c>
      <c r="I741" t="s">
        <v>13</v>
      </c>
      <c r="J741" t="s">
        <v>2141</v>
      </c>
      <c r="K741" t="s">
        <v>28</v>
      </c>
      <c r="L741" s="1" t="str">
        <f t="shared" si="66"/>
        <v>2024</v>
      </c>
      <c r="M741" t="str">
        <f t="shared" si="67"/>
        <v>Jul</v>
      </c>
      <c r="N741" t="str">
        <f t="shared" si="68"/>
        <v>Wed</v>
      </c>
      <c r="O741" s="1">
        <f t="shared" si="69"/>
        <v>2</v>
      </c>
      <c r="P741" s="1">
        <f t="shared" si="70"/>
        <v>11</v>
      </c>
      <c r="Q741" s="1">
        <f>ROUND(G741*H741*VLOOKUP(D741,'Cost Product'!A$1:C$21,3,FALSE),0)</f>
        <v>6</v>
      </c>
      <c r="R741" s="1">
        <f t="shared" si="71"/>
        <v>5</v>
      </c>
    </row>
    <row r="742" spans="1:18" x14ac:dyDescent="0.25">
      <c r="A742" s="1" t="s">
        <v>1519</v>
      </c>
      <c r="B742" t="s">
        <v>1520</v>
      </c>
      <c r="C742" t="s">
        <v>65</v>
      </c>
      <c r="D742" t="s">
        <v>99</v>
      </c>
      <c r="E742" s="4">
        <v>45327</v>
      </c>
      <c r="F742" s="4">
        <v>45330</v>
      </c>
      <c r="G742" s="1">
        <v>3</v>
      </c>
      <c r="H742" s="1">
        <v>4</v>
      </c>
      <c r="I742" t="s">
        <v>13</v>
      </c>
      <c r="J742" t="s">
        <v>2146</v>
      </c>
      <c r="K742" t="s">
        <v>19</v>
      </c>
      <c r="L742" s="1" t="str">
        <f t="shared" si="66"/>
        <v>2024</v>
      </c>
      <c r="M742" t="str">
        <f t="shared" si="67"/>
        <v>Feb</v>
      </c>
      <c r="N742" t="str">
        <f t="shared" si="68"/>
        <v>Mon</v>
      </c>
      <c r="O742" s="1">
        <f t="shared" si="69"/>
        <v>3</v>
      </c>
      <c r="P742" s="1">
        <f t="shared" si="70"/>
        <v>12</v>
      </c>
      <c r="Q742" s="1">
        <f>ROUND(G742*H742*VLOOKUP(D742,'Cost Product'!A$1:C$21,3,FALSE),0)</f>
        <v>6</v>
      </c>
      <c r="R742" s="1">
        <f t="shared" si="71"/>
        <v>6</v>
      </c>
    </row>
    <row r="743" spans="1:18" x14ac:dyDescent="0.25">
      <c r="A743" s="1" t="s">
        <v>1521</v>
      </c>
      <c r="B743" t="s">
        <v>1522</v>
      </c>
      <c r="C743" t="s">
        <v>11</v>
      </c>
      <c r="D743" t="s">
        <v>12</v>
      </c>
      <c r="E743" s="4">
        <v>45128</v>
      </c>
      <c r="F743" s="4">
        <v>45129</v>
      </c>
      <c r="G743" s="1">
        <v>1</v>
      </c>
      <c r="H743" s="1">
        <v>6.5</v>
      </c>
      <c r="I743" t="s">
        <v>13</v>
      </c>
      <c r="J743" t="s">
        <v>2141</v>
      </c>
      <c r="K743" t="s">
        <v>28</v>
      </c>
      <c r="L743" s="1" t="str">
        <f t="shared" si="66"/>
        <v>2023</v>
      </c>
      <c r="M743" t="str">
        <f t="shared" si="67"/>
        <v>Jul</v>
      </c>
      <c r="N743" t="str">
        <f t="shared" si="68"/>
        <v>Fri</v>
      </c>
      <c r="O743" s="1">
        <f t="shared" si="69"/>
        <v>1</v>
      </c>
      <c r="P743" s="1">
        <f t="shared" si="70"/>
        <v>6.5</v>
      </c>
      <c r="Q743" s="1">
        <f>ROUND(G743*H743*VLOOKUP(D743,'Cost Product'!A$1:C$21,3,FALSE),0)</f>
        <v>4</v>
      </c>
      <c r="R743" s="1">
        <f t="shared" si="71"/>
        <v>2.5</v>
      </c>
    </row>
    <row r="744" spans="1:18" x14ac:dyDescent="0.25">
      <c r="A744" s="1" t="s">
        <v>1523</v>
      </c>
      <c r="B744" t="s">
        <v>1524</v>
      </c>
      <c r="C744" t="s">
        <v>17</v>
      </c>
      <c r="D744" t="s">
        <v>50</v>
      </c>
      <c r="E744" s="4">
        <v>45383</v>
      </c>
      <c r="F744" s="4">
        <v>45386</v>
      </c>
      <c r="G744" s="1">
        <v>1</v>
      </c>
      <c r="H744" s="1">
        <v>5.25</v>
      </c>
      <c r="I744" t="s">
        <v>13</v>
      </c>
      <c r="J744" t="s">
        <v>2141</v>
      </c>
      <c r="K744" t="s">
        <v>28</v>
      </c>
      <c r="L744" s="1" t="str">
        <f t="shared" si="66"/>
        <v>2024</v>
      </c>
      <c r="M744" t="str">
        <f t="shared" si="67"/>
        <v>Apr</v>
      </c>
      <c r="N744" t="str">
        <f t="shared" si="68"/>
        <v>Mon</v>
      </c>
      <c r="O744" s="1">
        <f t="shared" si="69"/>
        <v>3</v>
      </c>
      <c r="P744" s="1">
        <f t="shared" si="70"/>
        <v>5.25</v>
      </c>
      <c r="Q744" s="1">
        <f>ROUND(G744*H744*VLOOKUP(D744,'Cost Product'!A$1:C$21,3,FALSE),0)</f>
        <v>3</v>
      </c>
      <c r="R744" s="1">
        <f t="shared" si="71"/>
        <v>2.25</v>
      </c>
    </row>
    <row r="745" spans="1:18" x14ac:dyDescent="0.25">
      <c r="A745" s="1" t="s">
        <v>1525</v>
      </c>
      <c r="B745" t="s">
        <v>1526</v>
      </c>
      <c r="C745" t="s">
        <v>26</v>
      </c>
      <c r="D745" t="s">
        <v>45</v>
      </c>
      <c r="E745" s="4">
        <v>45373</v>
      </c>
      <c r="F745" s="4">
        <v>45376</v>
      </c>
      <c r="G745" s="1">
        <v>4</v>
      </c>
      <c r="H745" s="1">
        <v>4.5</v>
      </c>
      <c r="I745" t="s">
        <v>40</v>
      </c>
      <c r="J745" t="s">
        <v>2141</v>
      </c>
      <c r="K745" t="s">
        <v>28</v>
      </c>
      <c r="L745" s="1" t="str">
        <f t="shared" si="66"/>
        <v>2024</v>
      </c>
      <c r="M745" t="str">
        <f t="shared" si="67"/>
        <v>Mar</v>
      </c>
      <c r="N745" t="str">
        <f t="shared" si="68"/>
        <v>Fri</v>
      </c>
      <c r="O745" s="1">
        <f t="shared" si="69"/>
        <v>3</v>
      </c>
      <c r="P745" s="1">
        <f t="shared" si="70"/>
        <v>18</v>
      </c>
      <c r="Q745" s="1">
        <f>ROUND(G745*H745*VLOOKUP(D745,'Cost Product'!A$1:C$21,3,FALSE),0)</f>
        <v>9</v>
      </c>
      <c r="R745" s="1">
        <f t="shared" si="71"/>
        <v>9</v>
      </c>
    </row>
    <row r="746" spans="1:18" x14ac:dyDescent="0.25">
      <c r="A746" s="1" t="s">
        <v>1527</v>
      </c>
      <c r="B746" t="s">
        <v>1528</v>
      </c>
      <c r="C746" t="s">
        <v>65</v>
      </c>
      <c r="D746" t="s">
        <v>99</v>
      </c>
      <c r="E746" s="4">
        <v>45508</v>
      </c>
      <c r="F746" s="4">
        <v>45516</v>
      </c>
      <c r="G746" s="1">
        <v>1</v>
      </c>
      <c r="H746" s="1">
        <v>4</v>
      </c>
      <c r="I746" t="s">
        <v>40</v>
      </c>
      <c r="J746" t="s">
        <v>2144</v>
      </c>
      <c r="K746" t="s">
        <v>28</v>
      </c>
      <c r="L746" s="1" t="str">
        <f t="shared" si="66"/>
        <v>2024</v>
      </c>
      <c r="M746" t="str">
        <f t="shared" si="67"/>
        <v>Aug</v>
      </c>
      <c r="N746" t="str">
        <f t="shared" si="68"/>
        <v>Sun</v>
      </c>
      <c r="O746" s="1">
        <f t="shared" si="69"/>
        <v>8</v>
      </c>
      <c r="P746" s="1">
        <f t="shared" si="70"/>
        <v>4</v>
      </c>
      <c r="Q746" s="1">
        <f>ROUND(G746*H746*VLOOKUP(D746,'Cost Product'!A$1:C$21,3,FALSE),0)</f>
        <v>2</v>
      </c>
      <c r="R746" s="1">
        <f t="shared" si="71"/>
        <v>2</v>
      </c>
    </row>
    <row r="747" spans="1:18" x14ac:dyDescent="0.25">
      <c r="A747" s="1" t="s">
        <v>1529</v>
      </c>
      <c r="B747" t="s">
        <v>1530</v>
      </c>
      <c r="C747" t="s">
        <v>22</v>
      </c>
      <c r="D747" t="s">
        <v>62</v>
      </c>
      <c r="E747" s="4">
        <v>45232</v>
      </c>
      <c r="F747" s="4">
        <v>45234</v>
      </c>
      <c r="G747" s="1">
        <v>2</v>
      </c>
      <c r="H747" s="1">
        <v>8</v>
      </c>
      <c r="I747" t="s">
        <v>13</v>
      </c>
      <c r="J747" t="s">
        <v>2142</v>
      </c>
      <c r="K747" t="s">
        <v>14</v>
      </c>
      <c r="L747" s="1" t="str">
        <f t="shared" si="66"/>
        <v>2023</v>
      </c>
      <c r="M747" t="str">
        <f t="shared" si="67"/>
        <v>Nov</v>
      </c>
      <c r="N747" t="str">
        <f t="shared" si="68"/>
        <v>Thu</v>
      </c>
      <c r="O747" s="1">
        <f t="shared" si="69"/>
        <v>2</v>
      </c>
      <c r="P747" s="1">
        <f t="shared" si="70"/>
        <v>16</v>
      </c>
      <c r="Q747" s="1">
        <f>ROUND(G747*H747*VLOOKUP(D747,'Cost Product'!A$1:C$21,3,FALSE),0)</f>
        <v>9</v>
      </c>
      <c r="R747" s="1">
        <f t="shared" si="71"/>
        <v>7</v>
      </c>
    </row>
    <row r="748" spans="1:18" x14ac:dyDescent="0.25">
      <c r="A748" s="1" t="s">
        <v>1531</v>
      </c>
      <c r="B748" t="s">
        <v>1532</v>
      </c>
      <c r="C748" t="s">
        <v>26</v>
      </c>
      <c r="D748" t="s">
        <v>82</v>
      </c>
      <c r="E748" s="4">
        <v>45430</v>
      </c>
      <c r="F748" s="4">
        <v>45433</v>
      </c>
      <c r="G748" s="1">
        <v>5</v>
      </c>
      <c r="H748" s="1">
        <v>4.25</v>
      </c>
      <c r="I748" t="s">
        <v>13</v>
      </c>
      <c r="J748" t="s">
        <v>2143</v>
      </c>
      <c r="K748" t="s">
        <v>28</v>
      </c>
      <c r="L748" s="1" t="str">
        <f t="shared" si="66"/>
        <v>2024</v>
      </c>
      <c r="M748" t="str">
        <f t="shared" si="67"/>
        <v>May</v>
      </c>
      <c r="N748" t="str">
        <f t="shared" si="68"/>
        <v>Sat</v>
      </c>
      <c r="O748" s="1">
        <f t="shared" si="69"/>
        <v>3</v>
      </c>
      <c r="P748" s="1">
        <f t="shared" si="70"/>
        <v>21.25</v>
      </c>
      <c r="Q748" s="1">
        <f>ROUND(G748*H748*VLOOKUP(D748,'Cost Product'!A$1:C$21,3,FALSE),0)</f>
        <v>10</v>
      </c>
      <c r="R748" s="1">
        <f t="shared" si="71"/>
        <v>11.25</v>
      </c>
    </row>
    <row r="749" spans="1:18" x14ac:dyDescent="0.25">
      <c r="A749" s="1" t="s">
        <v>1533</v>
      </c>
      <c r="B749" t="s">
        <v>1534</v>
      </c>
      <c r="C749" t="s">
        <v>17</v>
      </c>
      <c r="D749" t="s">
        <v>79</v>
      </c>
      <c r="E749" s="4">
        <v>45243</v>
      </c>
      <c r="F749" s="4">
        <v>45246</v>
      </c>
      <c r="G749" s="1">
        <v>3</v>
      </c>
      <c r="H749" s="1">
        <v>5</v>
      </c>
      <c r="I749" t="s">
        <v>13</v>
      </c>
      <c r="J749" t="s">
        <v>2143</v>
      </c>
      <c r="K749" t="s">
        <v>28</v>
      </c>
      <c r="L749" s="1" t="str">
        <f t="shared" si="66"/>
        <v>2023</v>
      </c>
      <c r="M749" t="str">
        <f t="shared" si="67"/>
        <v>Nov</v>
      </c>
      <c r="N749" t="str">
        <f t="shared" si="68"/>
        <v>Mon</v>
      </c>
      <c r="O749" s="1">
        <f t="shared" si="69"/>
        <v>3</v>
      </c>
      <c r="P749" s="1">
        <f t="shared" si="70"/>
        <v>15</v>
      </c>
      <c r="Q749" s="1">
        <f>ROUND(G749*H749*VLOOKUP(D749,'Cost Product'!A$1:C$21,3,FALSE),0)</f>
        <v>8</v>
      </c>
      <c r="R749" s="1">
        <f t="shared" si="71"/>
        <v>7</v>
      </c>
    </row>
    <row r="750" spans="1:18" x14ac:dyDescent="0.25">
      <c r="A750" s="1" t="s">
        <v>1535</v>
      </c>
      <c r="B750" t="s">
        <v>1536</v>
      </c>
      <c r="C750" t="s">
        <v>65</v>
      </c>
      <c r="D750" t="s">
        <v>120</v>
      </c>
      <c r="E750" s="4">
        <v>45179</v>
      </c>
      <c r="F750" s="4">
        <v>45182</v>
      </c>
      <c r="G750" s="1">
        <v>5</v>
      </c>
      <c r="H750" s="1">
        <v>3.75</v>
      </c>
      <c r="I750" t="s">
        <v>13</v>
      </c>
      <c r="J750" t="s">
        <v>2141</v>
      </c>
      <c r="K750" t="s">
        <v>19</v>
      </c>
      <c r="L750" s="1" t="str">
        <f t="shared" si="66"/>
        <v>2023</v>
      </c>
      <c r="M750" t="str">
        <f t="shared" si="67"/>
        <v>Sep</v>
      </c>
      <c r="N750" t="str">
        <f t="shared" si="68"/>
        <v>Sun</v>
      </c>
      <c r="O750" s="1">
        <f t="shared" si="69"/>
        <v>3</v>
      </c>
      <c r="P750" s="1">
        <f t="shared" si="70"/>
        <v>18.75</v>
      </c>
      <c r="Q750" s="1">
        <f>ROUND(G750*H750*VLOOKUP(D750,'Cost Product'!A$1:C$21,3,FALSE),0)</f>
        <v>9</v>
      </c>
      <c r="R750" s="1">
        <f t="shared" si="71"/>
        <v>9.75</v>
      </c>
    </row>
    <row r="751" spans="1:18" x14ac:dyDescent="0.25">
      <c r="A751" s="1" t="s">
        <v>1537</v>
      </c>
      <c r="B751" t="s">
        <v>1538</v>
      </c>
      <c r="C751" t="s">
        <v>22</v>
      </c>
      <c r="D751" t="s">
        <v>62</v>
      </c>
      <c r="E751" s="4">
        <v>45334</v>
      </c>
      <c r="F751" s="4">
        <v>45335</v>
      </c>
      <c r="G751" s="1">
        <v>1</v>
      </c>
      <c r="H751" s="1">
        <v>8</v>
      </c>
      <c r="I751" t="s">
        <v>40</v>
      </c>
      <c r="J751" t="s">
        <v>2142</v>
      </c>
      <c r="K751" t="s">
        <v>14</v>
      </c>
      <c r="L751" s="1" t="str">
        <f t="shared" si="66"/>
        <v>2024</v>
      </c>
      <c r="M751" t="str">
        <f t="shared" si="67"/>
        <v>Feb</v>
      </c>
      <c r="N751" t="str">
        <f t="shared" si="68"/>
        <v>Mon</v>
      </c>
      <c r="O751" s="1">
        <f t="shared" si="69"/>
        <v>1</v>
      </c>
      <c r="P751" s="1">
        <f t="shared" si="70"/>
        <v>8</v>
      </c>
      <c r="Q751" s="1">
        <f>ROUND(G751*H751*VLOOKUP(D751,'Cost Product'!A$1:C$21,3,FALSE),0)</f>
        <v>5</v>
      </c>
      <c r="R751" s="1">
        <f t="shared" si="71"/>
        <v>3</v>
      </c>
    </row>
    <row r="752" spans="1:18" x14ac:dyDescent="0.25">
      <c r="A752" s="1" t="s">
        <v>1539</v>
      </c>
      <c r="B752" t="s">
        <v>1540</v>
      </c>
      <c r="C752" t="s">
        <v>17</v>
      </c>
      <c r="D752" t="s">
        <v>18</v>
      </c>
      <c r="E752" s="4">
        <v>45144</v>
      </c>
      <c r="F752" s="4">
        <v>45145</v>
      </c>
      <c r="G752" s="1">
        <v>2</v>
      </c>
      <c r="H752" s="1">
        <v>5.5</v>
      </c>
      <c r="I752" t="s">
        <v>13</v>
      </c>
      <c r="J752" t="s">
        <v>2142</v>
      </c>
      <c r="K752" t="s">
        <v>14</v>
      </c>
      <c r="L752" s="1" t="str">
        <f t="shared" si="66"/>
        <v>2023</v>
      </c>
      <c r="M752" t="str">
        <f t="shared" si="67"/>
        <v>Aug</v>
      </c>
      <c r="N752" t="str">
        <f t="shared" si="68"/>
        <v>Sun</v>
      </c>
      <c r="O752" s="1">
        <f t="shared" si="69"/>
        <v>1</v>
      </c>
      <c r="P752" s="1">
        <f t="shared" si="70"/>
        <v>11</v>
      </c>
      <c r="Q752" s="1">
        <f>ROUND(G752*H752*VLOOKUP(D752,'Cost Product'!A$1:C$21,3,FALSE),0)</f>
        <v>7</v>
      </c>
      <c r="R752" s="1">
        <f t="shared" si="71"/>
        <v>4</v>
      </c>
    </row>
    <row r="753" spans="1:18" x14ac:dyDescent="0.25">
      <c r="A753" s="1" t="s">
        <v>1541</v>
      </c>
      <c r="B753" t="s">
        <v>1542</v>
      </c>
      <c r="C753" t="s">
        <v>11</v>
      </c>
      <c r="D753" t="s">
        <v>36</v>
      </c>
      <c r="E753" s="4">
        <v>45368</v>
      </c>
      <c r="F753" s="4">
        <v>45380</v>
      </c>
      <c r="G753" s="1">
        <v>4</v>
      </c>
      <c r="H753" s="1">
        <v>6.25</v>
      </c>
      <c r="I753" t="s">
        <v>13</v>
      </c>
      <c r="J753" t="s">
        <v>2143</v>
      </c>
      <c r="K753" t="s">
        <v>28</v>
      </c>
      <c r="L753" s="1" t="str">
        <f t="shared" si="66"/>
        <v>2024</v>
      </c>
      <c r="M753" t="str">
        <f t="shared" si="67"/>
        <v>Mar</v>
      </c>
      <c r="N753" t="str">
        <f t="shared" si="68"/>
        <v>Sun</v>
      </c>
      <c r="O753" s="1">
        <f t="shared" si="69"/>
        <v>12</v>
      </c>
      <c r="P753" s="1">
        <f t="shared" si="70"/>
        <v>25</v>
      </c>
      <c r="Q753" s="1">
        <f>ROUND(G753*H753*VLOOKUP(D753,'Cost Product'!A$1:C$21,3,FALSE),0)</f>
        <v>14</v>
      </c>
      <c r="R753" s="1">
        <f t="shared" si="71"/>
        <v>11</v>
      </c>
    </row>
    <row r="754" spans="1:18" x14ac:dyDescent="0.25">
      <c r="A754" s="1" t="s">
        <v>1543</v>
      </c>
      <c r="B754" t="s">
        <v>1544</v>
      </c>
      <c r="C754" t="s">
        <v>65</v>
      </c>
      <c r="D754" t="s">
        <v>99</v>
      </c>
      <c r="E754" s="4">
        <v>45325</v>
      </c>
      <c r="F754" s="4">
        <v>45327</v>
      </c>
      <c r="G754" s="1">
        <v>1</v>
      </c>
      <c r="H754" s="1">
        <v>4</v>
      </c>
      <c r="I754" t="s">
        <v>13</v>
      </c>
      <c r="J754" t="s">
        <v>2143</v>
      </c>
      <c r="K754" t="s">
        <v>28</v>
      </c>
      <c r="L754" s="1" t="str">
        <f t="shared" si="66"/>
        <v>2024</v>
      </c>
      <c r="M754" t="str">
        <f t="shared" si="67"/>
        <v>Feb</v>
      </c>
      <c r="N754" t="str">
        <f t="shared" si="68"/>
        <v>Sat</v>
      </c>
      <c r="O754" s="1">
        <f t="shared" si="69"/>
        <v>2</v>
      </c>
      <c r="P754" s="1">
        <f t="shared" si="70"/>
        <v>4</v>
      </c>
      <c r="Q754" s="1">
        <f>ROUND(G754*H754*VLOOKUP(D754,'Cost Product'!A$1:C$21,3,FALSE),0)</f>
        <v>2</v>
      </c>
      <c r="R754" s="1">
        <f t="shared" si="71"/>
        <v>2</v>
      </c>
    </row>
    <row r="755" spans="1:18" x14ac:dyDescent="0.25">
      <c r="A755" s="1" t="s">
        <v>1545</v>
      </c>
      <c r="B755" t="s">
        <v>1546</v>
      </c>
      <c r="C755" t="s">
        <v>11</v>
      </c>
      <c r="D755" t="s">
        <v>12</v>
      </c>
      <c r="E755" s="4">
        <v>45202</v>
      </c>
      <c r="F755" s="4">
        <v>45204</v>
      </c>
      <c r="G755" s="1">
        <v>5</v>
      </c>
      <c r="H755" s="1">
        <v>6.5</v>
      </c>
      <c r="I755" t="s">
        <v>13</v>
      </c>
      <c r="J755" t="s">
        <v>2142</v>
      </c>
      <c r="K755" t="s">
        <v>28</v>
      </c>
      <c r="L755" s="1" t="str">
        <f t="shared" si="66"/>
        <v>2023</v>
      </c>
      <c r="M755" t="str">
        <f t="shared" si="67"/>
        <v>Oct</v>
      </c>
      <c r="N755" t="str">
        <f t="shared" si="68"/>
        <v>Tue</v>
      </c>
      <c r="O755" s="1">
        <f t="shared" si="69"/>
        <v>2</v>
      </c>
      <c r="P755" s="1">
        <f t="shared" si="70"/>
        <v>32.5</v>
      </c>
      <c r="Q755" s="1">
        <f>ROUND(G755*H755*VLOOKUP(D755,'Cost Product'!A$1:C$21,3,FALSE),0)</f>
        <v>19</v>
      </c>
      <c r="R755" s="1">
        <f t="shared" si="71"/>
        <v>13.5</v>
      </c>
    </row>
    <row r="756" spans="1:18" x14ac:dyDescent="0.25">
      <c r="A756" s="1" t="s">
        <v>1547</v>
      </c>
      <c r="B756" t="s">
        <v>1548</v>
      </c>
      <c r="C756" t="s">
        <v>65</v>
      </c>
      <c r="D756" t="s">
        <v>66</v>
      </c>
      <c r="E756" s="4">
        <v>45509</v>
      </c>
      <c r="F756" s="4">
        <v>45522</v>
      </c>
      <c r="G756" s="1">
        <v>2</v>
      </c>
      <c r="H756" s="1">
        <v>3.5</v>
      </c>
      <c r="I756" t="s">
        <v>13</v>
      </c>
      <c r="J756" t="s">
        <v>2145</v>
      </c>
      <c r="K756" t="s">
        <v>14</v>
      </c>
      <c r="L756" s="1" t="str">
        <f t="shared" si="66"/>
        <v>2024</v>
      </c>
      <c r="M756" t="str">
        <f t="shared" si="67"/>
        <v>Aug</v>
      </c>
      <c r="N756" t="str">
        <f t="shared" si="68"/>
        <v>Mon</v>
      </c>
      <c r="O756" s="1">
        <f t="shared" si="69"/>
        <v>13</v>
      </c>
      <c r="P756" s="1">
        <f t="shared" si="70"/>
        <v>7</v>
      </c>
      <c r="Q756" s="1">
        <f>ROUND(G756*H756*VLOOKUP(D756,'Cost Product'!A$1:C$21,3,FALSE),0)</f>
        <v>3</v>
      </c>
      <c r="R756" s="1">
        <f t="shared" si="71"/>
        <v>4</v>
      </c>
    </row>
    <row r="757" spans="1:18" x14ac:dyDescent="0.25">
      <c r="A757" s="1" t="s">
        <v>1549</v>
      </c>
      <c r="B757" t="s">
        <v>1550</v>
      </c>
      <c r="C757" t="s">
        <v>11</v>
      </c>
      <c r="D757" t="s">
        <v>31</v>
      </c>
      <c r="E757" s="4">
        <v>45327</v>
      </c>
      <c r="F757" s="4">
        <v>45337</v>
      </c>
      <c r="G757" s="1">
        <v>5</v>
      </c>
      <c r="H757" s="1">
        <v>5.5</v>
      </c>
      <c r="I757" t="s">
        <v>13</v>
      </c>
      <c r="J757" t="s">
        <v>2144</v>
      </c>
      <c r="K757" t="s">
        <v>28</v>
      </c>
      <c r="L757" s="1" t="str">
        <f t="shared" si="66"/>
        <v>2024</v>
      </c>
      <c r="M757" t="str">
        <f t="shared" si="67"/>
        <v>Feb</v>
      </c>
      <c r="N757" t="str">
        <f t="shared" si="68"/>
        <v>Mon</v>
      </c>
      <c r="O757" s="1">
        <f t="shared" si="69"/>
        <v>10</v>
      </c>
      <c r="P757" s="1">
        <f t="shared" si="70"/>
        <v>27.5</v>
      </c>
      <c r="Q757" s="1">
        <f>ROUND(G757*H757*VLOOKUP(D757,'Cost Product'!A$1:C$21,3,FALSE),0)</f>
        <v>14</v>
      </c>
      <c r="R757" s="1">
        <f t="shared" si="71"/>
        <v>13.5</v>
      </c>
    </row>
    <row r="758" spans="1:18" x14ac:dyDescent="0.25">
      <c r="A758" s="1" t="s">
        <v>1551</v>
      </c>
      <c r="B758" t="s">
        <v>1552</v>
      </c>
      <c r="C758" t="s">
        <v>17</v>
      </c>
      <c r="D758" t="s">
        <v>18</v>
      </c>
      <c r="E758" s="4">
        <v>45576</v>
      </c>
      <c r="F758" s="4">
        <v>45577</v>
      </c>
      <c r="G758" s="1">
        <v>5</v>
      </c>
      <c r="H758" s="1">
        <v>5.5</v>
      </c>
      <c r="I758" t="s">
        <v>13</v>
      </c>
      <c r="J758" t="s">
        <v>2141</v>
      </c>
      <c r="K758" t="s">
        <v>28</v>
      </c>
      <c r="L758" s="1" t="str">
        <f t="shared" si="66"/>
        <v>2024</v>
      </c>
      <c r="M758" t="str">
        <f t="shared" si="67"/>
        <v>Oct</v>
      </c>
      <c r="N758" t="str">
        <f t="shared" si="68"/>
        <v>Fri</v>
      </c>
      <c r="O758" s="1">
        <f t="shared" si="69"/>
        <v>1</v>
      </c>
      <c r="P758" s="1">
        <f t="shared" si="70"/>
        <v>27.5</v>
      </c>
      <c r="Q758" s="1">
        <f>ROUND(G758*H758*VLOOKUP(D758,'Cost Product'!A$1:C$21,3,FALSE),0)</f>
        <v>17</v>
      </c>
      <c r="R758" s="1">
        <f t="shared" si="71"/>
        <v>10.5</v>
      </c>
    </row>
    <row r="759" spans="1:18" x14ac:dyDescent="0.25">
      <c r="A759" s="1" t="s">
        <v>1553</v>
      </c>
      <c r="B759" t="s">
        <v>1554</v>
      </c>
      <c r="C759" t="s">
        <v>11</v>
      </c>
      <c r="D759" t="s">
        <v>39</v>
      </c>
      <c r="E759" s="4">
        <v>45568</v>
      </c>
      <c r="F759" s="4">
        <v>45571</v>
      </c>
      <c r="G759" s="1">
        <v>5</v>
      </c>
      <c r="H759" s="1">
        <v>5.75</v>
      </c>
      <c r="I759" t="s">
        <v>13</v>
      </c>
      <c r="J759" t="s">
        <v>2142</v>
      </c>
      <c r="K759" t="s">
        <v>19</v>
      </c>
      <c r="L759" s="1" t="str">
        <f t="shared" si="66"/>
        <v>2024</v>
      </c>
      <c r="M759" t="str">
        <f t="shared" si="67"/>
        <v>Oct</v>
      </c>
      <c r="N759" t="str">
        <f t="shared" si="68"/>
        <v>Thu</v>
      </c>
      <c r="O759" s="1">
        <f t="shared" si="69"/>
        <v>3</v>
      </c>
      <c r="P759" s="1">
        <f t="shared" si="70"/>
        <v>28.75</v>
      </c>
      <c r="Q759" s="1">
        <f>ROUND(G759*H759*VLOOKUP(D759,'Cost Product'!A$1:C$21,3,FALSE),0)</f>
        <v>14</v>
      </c>
      <c r="R759" s="1">
        <f t="shared" si="71"/>
        <v>14.75</v>
      </c>
    </row>
    <row r="760" spans="1:18" x14ac:dyDescent="0.25">
      <c r="A760" s="1" t="s">
        <v>1555</v>
      </c>
      <c r="B760" t="s">
        <v>1556</v>
      </c>
      <c r="C760" t="s">
        <v>65</v>
      </c>
      <c r="D760" t="s">
        <v>115</v>
      </c>
      <c r="E760" s="4">
        <v>45213</v>
      </c>
      <c r="F760" s="4">
        <v>45216</v>
      </c>
      <c r="G760" s="1">
        <v>4</v>
      </c>
      <c r="H760" s="1">
        <v>3</v>
      </c>
      <c r="I760" t="s">
        <v>13</v>
      </c>
      <c r="J760" t="s">
        <v>2141</v>
      </c>
      <c r="K760" t="s">
        <v>28</v>
      </c>
      <c r="L760" s="1" t="str">
        <f t="shared" si="66"/>
        <v>2023</v>
      </c>
      <c r="M760" t="str">
        <f t="shared" si="67"/>
        <v>Oct</v>
      </c>
      <c r="N760" t="str">
        <f t="shared" si="68"/>
        <v>Sat</v>
      </c>
      <c r="O760" s="1">
        <f t="shared" si="69"/>
        <v>3</v>
      </c>
      <c r="P760" s="1">
        <f t="shared" si="70"/>
        <v>12</v>
      </c>
      <c r="Q760" s="1">
        <f>ROUND(G760*H760*VLOOKUP(D760,'Cost Product'!A$1:C$21,3,FALSE),0)</f>
        <v>6</v>
      </c>
      <c r="R760" s="1">
        <f t="shared" si="71"/>
        <v>6</v>
      </c>
    </row>
    <row r="761" spans="1:18" x14ac:dyDescent="0.25">
      <c r="A761" s="1" t="s">
        <v>1557</v>
      </c>
      <c r="B761" t="s">
        <v>1558</v>
      </c>
      <c r="C761" t="s">
        <v>17</v>
      </c>
      <c r="D761" t="s">
        <v>18</v>
      </c>
      <c r="E761" s="4">
        <v>45500</v>
      </c>
      <c r="F761" s="4">
        <v>45502</v>
      </c>
      <c r="G761" s="1">
        <v>3</v>
      </c>
      <c r="H761" s="1">
        <v>5.5</v>
      </c>
      <c r="I761" t="s">
        <v>40</v>
      </c>
      <c r="J761" t="s">
        <v>2146</v>
      </c>
      <c r="K761" t="s">
        <v>28</v>
      </c>
      <c r="L761" s="1" t="str">
        <f t="shared" si="66"/>
        <v>2024</v>
      </c>
      <c r="M761" t="str">
        <f t="shared" si="67"/>
        <v>Jul</v>
      </c>
      <c r="N761" t="str">
        <f t="shared" si="68"/>
        <v>Sat</v>
      </c>
      <c r="O761" s="1">
        <f t="shared" si="69"/>
        <v>2</v>
      </c>
      <c r="P761" s="1">
        <f t="shared" si="70"/>
        <v>16.5</v>
      </c>
      <c r="Q761" s="1">
        <f>ROUND(G761*H761*VLOOKUP(D761,'Cost Product'!A$1:C$21,3,FALSE),0)</f>
        <v>10</v>
      </c>
      <c r="R761" s="1">
        <f t="shared" si="71"/>
        <v>6.5</v>
      </c>
    </row>
    <row r="762" spans="1:18" x14ac:dyDescent="0.25">
      <c r="A762" s="1" t="s">
        <v>1559</v>
      </c>
      <c r="B762" t="s">
        <v>1560</v>
      </c>
      <c r="C762" t="s">
        <v>22</v>
      </c>
      <c r="D762" t="s">
        <v>23</v>
      </c>
      <c r="E762" s="4">
        <v>45394</v>
      </c>
      <c r="F762" s="4">
        <v>45396</v>
      </c>
      <c r="G762" s="1">
        <v>3</v>
      </c>
      <c r="H762" s="1">
        <v>10</v>
      </c>
      <c r="I762" t="s">
        <v>13</v>
      </c>
      <c r="J762" t="s">
        <v>2141</v>
      </c>
      <c r="K762" t="s">
        <v>28</v>
      </c>
      <c r="L762" s="1" t="str">
        <f t="shared" si="66"/>
        <v>2024</v>
      </c>
      <c r="M762" t="str">
        <f t="shared" si="67"/>
        <v>Apr</v>
      </c>
      <c r="N762" t="str">
        <f t="shared" si="68"/>
        <v>Fri</v>
      </c>
      <c r="O762" s="1">
        <f t="shared" si="69"/>
        <v>2</v>
      </c>
      <c r="P762" s="1">
        <f t="shared" si="70"/>
        <v>30</v>
      </c>
      <c r="Q762" s="1">
        <f>ROUND(G762*H762*VLOOKUP(D762,'Cost Product'!A$1:C$21,3,FALSE),0)</f>
        <v>20</v>
      </c>
      <c r="R762" s="1">
        <f t="shared" si="71"/>
        <v>10</v>
      </c>
    </row>
    <row r="763" spans="1:18" x14ac:dyDescent="0.25">
      <c r="A763" s="1" t="s">
        <v>1561</v>
      </c>
      <c r="B763" t="s">
        <v>1562</v>
      </c>
      <c r="C763" t="s">
        <v>65</v>
      </c>
      <c r="D763" t="s">
        <v>99</v>
      </c>
      <c r="E763" s="4">
        <v>45294</v>
      </c>
      <c r="F763" s="4">
        <v>45303</v>
      </c>
      <c r="G763" s="1">
        <v>4</v>
      </c>
      <c r="H763" s="1">
        <v>4</v>
      </c>
      <c r="I763" t="s">
        <v>13</v>
      </c>
      <c r="J763" t="s">
        <v>2144</v>
      </c>
      <c r="K763" t="s">
        <v>28</v>
      </c>
      <c r="L763" s="1" t="str">
        <f t="shared" si="66"/>
        <v>2024</v>
      </c>
      <c r="M763" t="str">
        <f t="shared" si="67"/>
        <v>Jan</v>
      </c>
      <c r="N763" t="str">
        <f t="shared" si="68"/>
        <v>Wed</v>
      </c>
      <c r="O763" s="1">
        <f t="shared" si="69"/>
        <v>9</v>
      </c>
      <c r="P763" s="1">
        <f t="shared" si="70"/>
        <v>16</v>
      </c>
      <c r="Q763" s="1">
        <f>ROUND(G763*H763*VLOOKUP(D763,'Cost Product'!A$1:C$21,3,FALSE),0)</f>
        <v>8</v>
      </c>
      <c r="R763" s="1">
        <f t="shared" si="71"/>
        <v>8</v>
      </c>
    </row>
    <row r="764" spans="1:18" x14ac:dyDescent="0.25">
      <c r="A764" s="1" t="s">
        <v>1563</v>
      </c>
      <c r="B764" t="s">
        <v>1564</v>
      </c>
      <c r="C764" t="s">
        <v>65</v>
      </c>
      <c r="D764" t="s">
        <v>115</v>
      </c>
      <c r="E764" s="4">
        <v>45272</v>
      </c>
      <c r="F764" s="4">
        <v>45274</v>
      </c>
      <c r="G764" s="1">
        <v>3</v>
      </c>
      <c r="H764" s="1">
        <v>3</v>
      </c>
      <c r="I764" t="s">
        <v>13</v>
      </c>
      <c r="J764" t="s">
        <v>2144</v>
      </c>
      <c r="K764" t="s">
        <v>19</v>
      </c>
      <c r="L764" s="1" t="str">
        <f t="shared" si="66"/>
        <v>2023</v>
      </c>
      <c r="M764" t="str">
        <f t="shared" si="67"/>
        <v>Dec</v>
      </c>
      <c r="N764" t="str">
        <f t="shared" si="68"/>
        <v>Tue</v>
      </c>
      <c r="O764" s="1">
        <f t="shared" si="69"/>
        <v>2</v>
      </c>
      <c r="P764" s="1">
        <f t="shared" si="70"/>
        <v>9</v>
      </c>
      <c r="Q764" s="1">
        <f>ROUND(G764*H764*VLOOKUP(D764,'Cost Product'!A$1:C$21,3,FALSE),0)</f>
        <v>4</v>
      </c>
      <c r="R764" s="1">
        <f t="shared" si="71"/>
        <v>5</v>
      </c>
    </row>
    <row r="765" spans="1:18" x14ac:dyDescent="0.25">
      <c r="A765" s="1" t="s">
        <v>1565</v>
      </c>
      <c r="B765" t="s">
        <v>1566</v>
      </c>
      <c r="C765" t="s">
        <v>65</v>
      </c>
      <c r="D765" t="s">
        <v>66</v>
      </c>
      <c r="E765" s="4">
        <v>45515</v>
      </c>
      <c r="F765" s="4">
        <v>45516</v>
      </c>
      <c r="G765" s="1">
        <v>2</v>
      </c>
      <c r="H765" s="1">
        <v>3.5</v>
      </c>
      <c r="I765" t="s">
        <v>13</v>
      </c>
      <c r="J765" t="s">
        <v>2141</v>
      </c>
      <c r="K765" t="s">
        <v>28</v>
      </c>
      <c r="L765" s="1" t="str">
        <f t="shared" si="66"/>
        <v>2024</v>
      </c>
      <c r="M765" t="str">
        <f t="shared" si="67"/>
        <v>Aug</v>
      </c>
      <c r="N765" t="str">
        <f t="shared" si="68"/>
        <v>Sun</v>
      </c>
      <c r="O765" s="1">
        <f t="shared" si="69"/>
        <v>1</v>
      </c>
      <c r="P765" s="1">
        <f t="shared" si="70"/>
        <v>7</v>
      </c>
      <c r="Q765" s="1">
        <f>ROUND(G765*H765*VLOOKUP(D765,'Cost Product'!A$1:C$21,3,FALSE),0)</f>
        <v>3</v>
      </c>
      <c r="R765" s="1">
        <f t="shared" si="71"/>
        <v>4</v>
      </c>
    </row>
    <row r="766" spans="1:18" x14ac:dyDescent="0.25">
      <c r="A766" s="1" t="s">
        <v>1567</v>
      </c>
      <c r="B766" t="s">
        <v>1568</v>
      </c>
      <c r="C766" t="s">
        <v>17</v>
      </c>
      <c r="D766" t="s">
        <v>18</v>
      </c>
      <c r="E766" s="4">
        <v>45355</v>
      </c>
      <c r="F766" s="4">
        <v>45357</v>
      </c>
      <c r="G766" s="1">
        <v>3</v>
      </c>
      <c r="H766" s="1">
        <v>5.5</v>
      </c>
      <c r="I766" t="s">
        <v>40</v>
      </c>
      <c r="J766" t="s">
        <v>2141</v>
      </c>
      <c r="K766" t="s">
        <v>28</v>
      </c>
      <c r="L766" s="1" t="str">
        <f t="shared" si="66"/>
        <v>2024</v>
      </c>
      <c r="M766" t="str">
        <f t="shared" si="67"/>
        <v>Mar</v>
      </c>
      <c r="N766" t="str">
        <f t="shared" si="68"/>
        <v>Mon</v>
      </c>
      <c r="O766" s="1">
        <f t="shared" si="69"/>
        <v>2</v>
      </c>
      <c r="P766" s="1">
        <f t="shared" si="70"/>
        <v>16.5</v>
      </c>
      <c r="Q766" s="1">
        <f>ROUND(G766*H766*VLOOKUP(D766,'Cost Product'!A$1:C$21,3,FALSE),0)</f>
        <v>10</v>
      </c>
      <c r="R766" s="1">
        <f t="shared" si="71"/>
        <v>6.5</v>
      </c>
    </row>
    <row r="767" spans="1:18" x14ac:dyDescent="0.25">
      <c r="A767" s="1" t="s">
        <v>1569</v>
      </c>
      <c r="B767" t="s">
        <v>1570</v>
      </c>
      <c r="C767" t="s">
        <v>65</v>
      </c>
      <c r="D767" t="s">
        <v>66</v>
      </c>
      <c r="E767" s="4">
        <v>45539</v>
      </c>
      <c r="F767" s="4">
        <v>45540</v>
      </c>
      <c r="G767" s="1">
        <v>2</v>
      </c>
      <c r="H767" s="1">
        <v>3.5</v>
      </c>
      <c r="I767" t="s">
        <v>13</v>
      </c>
      <c r="J767" t="s">
        <v>2142</v>
      </c>
      <c r="K767" t="s">
        <v>19</v>
      </c>
      <c r="L767" s="1" t="str">
        <f t="shared" si="66"/>
        <v>2024</v>
      </c>
      <c r="M767" t="str">
        <f t="shared" si="67"/>
        <v>Sep</v>
      </c>
      <c r="N767" t="str">
        <f t="shared" si="68"/>
        <v>Wed</v>
      </c>
      <c r="O767" s="1">
        <f t="shared" si="69"/>
        <v>1</v>
      </c>
      <c r="P767" s="1">
        <f t="shared" si="70"/>
        <v>7</v>
      </c>
      <c r="Q767" s="1">
        <f>ROUND(G767*H767*VLOOKUP(D767,'Cost Product'!A$1:C$21,3,FALSE),0)</f>
        <v>3</v>
      </c>
      <c r="R767" s="1">
        <f t="shared" si="71"/>
        <v>4</v>
      </c>
    </row>
    <row r="768" spans="1:18" x14ac:dyDescent="0.25">
      <c r="A768" s="1" t="s">
        <v>1571</v>
      </c>
      <c r="B768" t="s">
        <v>1572</v>
      </c>
      <c r="C768" t="s">
        <v>65</v>
      </c>
      <c r="D768" t="s">
        <v>120</v>
      </c>
      <c r="E768" s="4">
        <v>45176</v>
      </c>
      <c r="F768" s="4">
        <v>45177</v>
      </c>
      <c r="G768" s="1">
        <v>5</v>
      </c>
      <c r="H768" s="1">
        <v>3.75</v>
      </c>
      <c r="I768" t="s">
        <v>13</v>
      </c>
      <c r="J768" t="s">
        <v>2142</v>
      </c>
      <c r="K768" t="s">
        <v>14</v>
      </c>
      <c r="L768" s="1" t="str">
        <f t="shared" si="66"/>
        <v>2023</v>
      </c>
      <c r="M768" t="str">
        <f t="shared" si="67"/>
        <v>Sep</v>
      </c>
      <c r="N768" t="str">
        <f t="shared" si="68"/>
        <v>Thu</v>
      </c>
      <c r="O768" s="1">
        <f t="shared" si="69"/>
        <v>1</v>
      </c>
      <c r="P768" s="1">
        <f t="shared" si="70"/>
        <v>18.75</v>
      </c>
      <c r="Q768" s="1">
        <f>ROUND(G768*H768*VLOOKUP(D768,'Cost Product'!A$1:C$21,3,FALSE),0)</f>
        <v>9</v>
      </c>
      <c r="R768" s="1">
        <f t="shared" si="71"/>
        <v>9.75</v>
      </c>
    </row>
    <row r="769" spans="1:18" x14ac:dyDescent="0.25">
      <c r="A769" s="1" t="s">
        <v>1573</v>
      </c>
      <c r="B769" t="s">
        <v>1574</v>
      </c>
      <c r="C769" t="s">
        <v>26</v>
      </c>
      <c r="D769" t="s">
        <v>82</v>
      </c>
      <c r="E769" s="4">
        <v>45333</v>
      </c>
      <c r="F769" s="4">
        <v>45336</v>
      </c>
      <c r="G769" s="1">
        <v>3</v>
      </c>
      <c r="H769" s="1">
        <v>4.25</v>
      </c>
      <c r="I769" t="s">
        <v>40</v>
      </c>
      <c r="J769" t="s">
        <v>2141</v>
      </c>
      <c r="K769" t="s">
        <v>28</v>
      </c>
      <c r="L769" s="1" t="str">
        <f t="shared" si="66"/>
        <v>2024</v>
      </c>
      <c r="M769" t="str">
        <f t="shared" si="67"/>
        <v>Feb</v>
      </c>
      <c r="N769" t="str">
        <f t="shared" si="68"/>
        <v>Sun</v>
      </c>
      <c r="O769" s="1">
        <f t="shared" si="69"/>
        <v>3</v>
      </c>
      <c r="P769" s="1">
        <f t="shared" si="70"/>
        <v>12.75</v>
      </c>
      <c r="Q769" s="1">
        <f>ROUND(G769*H769*VLOOKUP(D769,'Cost Product'!A$1:C$21,3,FALSE),0)</f>
        <v>6</v>
      </c>
      <c r="R769" s="1">
        <f t="shared" si="71"/>
        <v>6.75</v>
      </c>
    </row>
    <row r="770" spans="1:18" x14ac:dyDescent="0.25">
      <c r="A770" s="1" t="s">
        <v>1575</v>
      </c>
      <c r="B770" t="s">
        <v>1576</v>
      </c>
      <c r="C770" t="s">
        <v>17</v>
      </c>
      <c r="D770" t="s">
        <v>50</v>
      </c>
      <c r="E770" s="4">
        <v>45191</v>
      </c>
      <c r="F770" s="4">
        <v>45197</v>
      </c>
      <c r="G770" s="1">
        <v>2</v>
      </c>
      <c r="H770" s="1">
        <v>5.25</v>
      </c>
      <c r="I770" t="s">
        <v>13</v>
      </c>
      <c r="J770" t="s">
        <v>2141</v>
      </c>
      <c r="K770" t="s">
        <v>19</v>
      </c>
      <c r="L770" s="1" t="str">
        <f t="shared" si="66"/>
        <v>2023</v>
      </c>
      <c r="M770" t="str">
        <f t="shared" si="67"/>
        <v>Sep</v>
      </c>
      <c r="N770" t="str">
        <f t="shared" si="68"/>
        <v>Fri</v>
      </c>
      <c r="O770" s="1">
        <f t="shared" si="69"/>
        <v>6</v>
      </c>
      <c r="P770" s="1">
        <f t="shared" si="70"/>
        <v>10.5</v>
      </c>
      <c r="Q770" s="1">
        <f>ROUND(G770*H770*VLOOKUP(D770,'Cost Product'!A$1:C$21,3,FALSE),0)</f>
        <v>6</v>
      </c>
      <c r="R770" s="1">
        <f t="shared" si="71"/>
        <v>4.5</v>
      </c>
    </row>
    <row r="771" spans="1:18" x14ac:dyDescent="0.25">
      <c r="A771" s="1" t="s">
        <v>1577</v>
      </c>
      <c r="B771" t="s">
        <v>1578</v>
      </c>
      <c r="C771" t="s">
        <v>17</v>
      </c>
      <c r="D771" t="s">
        <v>50</v>
      </c>
      <c r="E771" s="4">
        <v>45261</v>
      </c>
      <c r="F771" s="4">
        <v>45264</v>
      </c>
      <c r="G771" s="1">
        <v>4</v>
      </c>
      <c r="H771" s="1">
        <v>5.25</v>
      </c>
      <c r="I771" t="s">
        <v>13</v>
      </c>
      <c r="J771" t="s">
        <v>2141</v>
      </c>
      <c r="K771" t="s">
        <v>28</v>
      </c>
      <c r="L771" s="1" t="str">
        <f t="shared" ref="L771:L834" si="72">TEXT(E771, "YYYY")</f>
        <v>2023</v>
      </c>
      <c r="M771" t="str">
        <f t="shared" ref="M771:M834" si="73">TEXT(E771, "MMM")</f>
        <v>Dec</v>
      </c>
      <c r="N771" t="str">
        <f t="shared" ref="N771:N834" si="74">TEXT(E771, "DDD")</f>
        <v>Fri</v>
      </c>
      <c r="O771" s="1">
        <f t="shared" ref="O771:O834" si="75">DATEDIF(E771, F771, "D")</f>
        <v>3</v>
      </c>
      <c r="P771" s="1">
        <f t="shared" ref="P771:P834" si="76">G771*H771</f>
        <v>21</v>
      </c>
      <c r="Q771" s="1">
        <f>ROUND(G771*H771*VLOOKUP(D771,'Cost Product'!A$1:C$21,3,FALSE),0)</f>
        <v>12</v>
      </c>
      <c r="R771" s="1">
        <f t="shared" ref="R771:R834" si="77">P771-Q771</f>
        <v>9</v>
      </c>
    </row>
    <row r="772" spans="1:18" x14ac:dyDescent="0.25">
      <c r="A772" s="1" t="s">
        <v>1579</v>
      </c>
      <c r="B772" t="s">
        <v>1580</v>
      </c>
      <c r="C772" t="s">
        <v>26</v>
      </c>
      <c r="D772" t="s">
        <v>27</v>
      </c>
      <c r="E772" s="4">
        <v>45415</v>
      </c>
      <c r="F772" s="4">
        <v>45417</v>
      </c>
      <c r="G772" s="1">
        <v>2</v>
      </c>
      <c r="H772" s="1">
        <v>4.75</v>
      </c>
      <c r="I772" t="s">
        <v>13</v>
      </c>
      <c r="J772" t="s">
        <v>2146</v>
      </c>
      <c r="K772" t="s">
        <v>19</v>
      </c>
      <c r="L772" s="1" t="str">
        <f t="shared" si="72"/>
        <v>2024</v>
      </c>
      <c r="M772" t="str">
        <f t="shared" si="73"/>
        <v>May</v>
      </c>
      <c r="N772" t="str">
        <f t="shared" si="74"/>
        <v>Fri</v>
      </c>
      <c r="O772" s="1">
        <f t="shared" si="75"/>
        <v>2</v>
      </c>
      <c r="P772" s="1">
        <f t="shared" si="76"/>
        <v>9.5</v>
      </c>
      <c r="Q772" s="1">
        <f>ROUND(G772*H772*VLOOKUP(D772,'Cost Product'!A$1:C$21,3,FALSE),0)</f>
        <v>5</v>
      </c>
      <c r="R772" s="1">
        <f t="shared" si="77"/>
        <v>4.5</v>
      </c>
    </row>
    <row r="773" spans="1:18" x14ac:dyDescent="0.25">
      <c r="A773" s="1" t="s">
        <v>1581</v>
      </c>
      <c r="B773" t="s">
        <v>1582</v>
      </c>
      <c r="C773" t="s">
        <v>11</v>
      </c>
      <c r="D773" t="s">
        <v>31</v>
      </c>
      <c r="E773" s="4">
        <v>45553</v>
      </c>
      <c r="F773" s="4">
        <v>45559</v>
      </c>
      <c r="G773" s="1">
        <v>2</v>
      </c>
      <c r="H773" s="1">
        <v>5.5</v>
      </c>
      <c r="I773" t="s">
        <v>40</v>
      </c>
      <c r="J773" t="s">
        <v>2141</v>
      </c>
      <c r="K773" t="s">
        <v>28</v>
      </c>
      <c r="L773" s="1" t="str">
        <f t="shared" si="72"/>
        <v>2024</v>
      </c>
      <c r="M773" t="str">
        <f t="shared" si="73"/>
        <v>Sep</v>
      </c>
      <c r="N773" t="str">
        <f t="shared" si="74"/>
        <v>Wed</v>
      </c>
      <c r="O773" s="1">
        <f t="shared" si="75"/>
        <v>6</v>
      </c>
      <c r="P773" s="1">
        <f t="shared" si="76"/>
        <v>11</v>
      </c>
      <c r="Q773" s="1">
        <f>ROUND(G773*H773*VLOOKUP(D773,'Cost Product'!A$1:C$21,3,FALSE),0)</f>
        <v>6</v>
      </c>
      <c r="R773" s="1">
        <f t="shared" si="77"/>
        <v>5</v>
      </c>
    </row>
    <row r="774" spans="1:18" x14ac:dyDescent="0.25">
      <c r="A774" s="1" t="s">
        <v>1583</v>
      </c>
      <c r="B774" t="s">
        <v>1584</v>
      </c>
      <c r="C774" t="s">
        <v>65</v>
      </c>
      <c r="D774" t="s">
        <v>120</v>
      </c>
      <c r="E774" s="4">
        <v>45167</v>
      </c>
      <c r="F774" s="4">
        <v>45178</v>
      </c>
      <c r="G774" s="1">
        <v>2</v>
      </c>
      <c r="H774" s="1">
        <v>3.75</v>
      </c>
      <c r="I774" t="s">
        <v>13</v>
      </c>
      <c r="J774" t="s">
        <v>2142</v>
      </c>
      <c r="K774" t="s">
        <v>28</v>
      </c>
      <c r="L774" s="1" t="str">
        <f t="shared" si="72"/>
        <v>2023</v>
      </c>
      <c r="M774" t="str">
        <f t="shared" si="73"/>
        <v>Aug</v>
      </c>
      <c r="N774" t="str">
        <f t="shared" si="74"/>
        <v>Tue</v>
      </c>
      <c r="O774" s="1">
        <f t="shared" si="75"/>
        <v>11</v>
      </c>
      <c r="P774" s="1">
        <f t="shared" si="76"/>
        <v>7.5</v>
      </c>
      <c r="Q774" s="1">
        <f>ROUND(G774*H774*VLOOKUP(D774,'Cost Product'!A$1:C$21,3,FALSE),0)</f>
        <v>4</v>
      </c>
      <c r="R774" s="1">
        <f t="shared" si="77"/>
        <v>3.5</v>
      </c>
    </row>
    <row r="775" spans="1:18" x14ac:dyDescent="0.25">
      <c r="A775" s="1" t="s">
        <v>1585</v>
      </c>
      <c r="B775" t="s">
        <v>1586</v>
      </c>
      <c r="C775" t="s">
        <v>17</v>
      </c>
      <c r="D775" t="s">
        <v>18</v>
      </c>
      <c r="E775" s="4">
        <v>45409</v>
      </c>
      <c r="F775" s="4">
        <v>45411</v>
      </c>
      <c r="G775" s="1">
        <v>4</v>
      </c>
      <c r="H775" s="1">
        <v>5.5</v>
      </c>
      <c r="I775" t="s">
        <v>13</v>
      </c>
      <c r="J775" t="s">
        <v>2142</v>
      </c>
      <c r="K775" t="s">
        <v>19</v>
      </c>
      <c r="L775" s="1" t="str">
        <f t="shared" si="72"/>
        <v>2024</v>
      </c>
      <c r="M775" t="str">
        <f t="shared" si="73"/>
        <v>Apr</v>
      </c>
      <c r="N775" t="str">
        <f t="shared" si="74"/>
        <v>Sat</v>
      </c>
      <c r="O775" s="1">
        <f t="shared" si="75"/>
        <v>2</v>
      </c>
      <c r="P775" s="1">
        <f t="shared" si="76"/>
        <v>22</v>
      </c>
      <c r="Q775" s="1">
        <f>ROUND(G775*H775*VLOOKUP(D775,'Cost Product'!A$1:C$21,3,FALSE),0)</f>
        <v>13</v>
      </c>
      <c r="R775" s="1">
        <f t="shared" si="77"/>
        <v>9</v>
      </c>
    </row>
    <row r="776" spans="1:18" x14ac:dyDescent="0.25">
      <c r="A776" s="1" t="s">
        <v>1587</v>
      </c>
      <c r="B776" t="s">
        <v>1588</v>
      </c>
      <c r="C776" t="s">
        <v>65</v>
      </c>
      <c r="D776" t="s">
        <v>120</v>
      </c>
      <c r="E776" s="4">
        <v>45417</v>
      </c>
      <c r="F776" s="4">
        <v>45421</v>
      </c>
      <c r="G776" s="1">
        <v>1</v>
      </c>
      <c r="H776" s="1">
        <v>3.75</v>
      </c>
      <c r="I776" t="s">
        <v>13</v>
      </c>
      <c r="J776" t="s">
        <v>2146</v>
      </c>
      <c r="K776" t="s">
        <v>28</v>
      </c>
      <c r="L776" s="1" t="str">
        <f t="shared" si="72"/>
        <v>2024</v>
      </c>
      <c r="M776" t="str">
        <f t="shared" si="73"/>
        <v>May</v>
      </c>
      <c r="N776" t="str">
        <f t="shared" si="74"/>
        <v>Sun</v>
      </c>
      <c r="O776" s="1">
        <f t="shared" si="75"/>
        <v>4</v>
      </c>
      <c r="P776" s="1">
        <f t="shared" si="76"/>
        <v>3.75</v>
      </c>
      <c r="Q776" s="1">
        <f>ROUND(G776*H776*VLOOKUP(D776,'Cost Product'!A$1:C$21,3,FALSE),0)</f>
        <v>2</v>
      </c>
      <c r="R776" s="1">
        <f t="shared" si="77"/>
        <v>1.75</v>
      </c>
    </row>
    <row r="777" spans="1:18" x14ac:dyDescent="0.25">
      <c r="A777" s="1" t="s">
        <v>1589</v>
      </c>
      <c r="B777" t="s">
        <v>1590</v>
      </c>
      <c r="C777" t="s">
        <v>26</v>
      </c>
      <c r="D777" t="s">
        <v>27</v>
      </c>
      <c r="E777" s="4">
        <v>45476</v>
      </c>
      <c r="F777" s="4">
        <v>45487</v>
      </c>
      <c r="G777" s="1">
        <v>3</v>
      </c>
      <c r="H777" s="1">
        <v>4.75</v>
      </c>
      <c r="I777" t="s">
        <v>13</v>
      </c>
      <c r="J777" t="s">
        <v>2141</v>
      </c>
      <c r="K777" t="s">
        <v>14</v>
      </c>
      <c r="L777" s="1" t="str">
        <f t="shared" si="72"/>
        <v>2024</v>
      </c>
      <c r="M777" t="str">
        <f t="shared" si="73"/>
        <v>Jul</v>
      </c>
      <c r="N777" t="str">
        <f t="shared" si="74"/>
        <v>Wed</v>
      </c>
      <c r="O777" s="1">
        <f t="shared" si="75"/>
        <v>11</v>
      </c>
      <c r="P777" s="1">
        <f t="shared" si="76"/>
        <v>14.25</v>
      </c>
      <c r="Q777" s="1">
        <f>ROUND(G777*H777*VLOOKUP(D777,'Cost Product'!A$1:C$21,3,FALSE),0)</f>
        <v>8</v>
      </c>
      <c r="R777" s="1">
        <f t="shared" si="77"/>
        <v>6.25</v>
      </c>
    </row>
    <row r="778" spans="1:18" x14ac:dyDescent="0.25">
      <c r="A778" s="1" t="s">
        <v>1591</v>
      </c>
      <c r="B778" t="s">
        <v>1592</v>
      </c>
      <c r="C778" t="s">
        <v>11</v>
      </c>
      <c r="D778" t="s">
        <v>31</v>
      </c>
      <c r="E778" s="4">
        <v>45476</v>
      </c>
      <c r="F778" s="4">
        <v>45479</v>
      </c>
      <c r="G778" s="1">
        <v>4</v>
      </c>
      <c r="H778" s="1">
        <v>5.5</v>
      </c>
      <c r="I778" t="s">
        <v>13</v>
      </c>
      <c r="J778" t="s">
        <v>2141</v>
      </c>
      <c r="K778" t="s">
        <v>14</v>
      </c>
      <c r="L778" s="1" t="str">
        <f t="shared" si="72"/>
        <v>2024</v>
      </c>
      <c r="M778" t="str">
        <f t="shared" si="73"/>
        <v>Jul</v>
      </c>
      <c r="N778" t="str">
        <f t="shared" si="74"/>
        <v>Wed</v>
      </c>
      <c r="O778" s="1">
        <f t="shared" si="75"/>
        <v>3</v>
      </c>
      <c r="P778" s="1">
        <f t="shared" si="76"/>
        <v>22</v>
      </c>
      <c r="Q778" s="1">
        <f>ROUND(G778*H778*VLOOKUP(D778,'Cost Product'!A$1:C$21,3,FALSE),0)</f>
        <v>11</v>
      </c>
      <c r="R778" s="1">
        <f t="shared" si="77"/>
        <v>11</v>
      </c>
    </row>
    <row r="779" spans="1:18" x14ac:dyDescent="0.25">
      <c r="A779" s="1" t="s">
        <v>1593</v>
      </c>
      <c r="B779" t="s">
        <v>1594</v>
      </c>
      <c r="C779" t="s">
        <v>65</v>
      </c>
      <c r="D779" t="s">
        <v>99</v>
      </c>
      <c r="E779" s="4">
        <v>45550</v>
      </c>
      <c r="F779" s="4">
        <v>45555</v>
      </c>
      <c r="G779" s="1">
        <v>5</v>
      </c>
      <c r="H779" s="1">
        <v>4</v>
      </c>
      <c r="I779" t="s">
        <v>40</v>
      </c>
      <c r="J779" t="s">
        <v>2141</v>
      </c>
      <c r="K779" t="s">
        <v>28</v>
      </c>
      <c r="L779" s="1" t="str">
        <f t="shared" si="72"/>
        <v>2024</v>
      </c>
      <c r="M779" t="str">
        <f t="shared" si="73"/>
        <v>Sep</v>
      </c>
      <c r="N779" t="str">
        <f t="shared" si="74"/>
        <v>Sun</v>
      </c>
      <c r="O779" s="1">
        <f t="shared" si="75"/>
        <v>5</v>
      </c>
      <c r="P779" s="1">
        <f t="shared" si="76"/>
        <v>20</v>
      </c>
      <c r="Q779" s="1">
        <f>ROUND(G779*H779*VLOOKUP(D779,'Cost Product'!A$1:C$21,3,FALSE),0)</f>
        <v>10</v>
      </c>
      <c r="R779" s="1">
        <f t="shared" si="77"/>
        <v>10</v>
      </c>
    </row>
    <row r="780" spans="1:18" x14ac:dyDescent="0.25">
      <c r="A780" s="1" t="s">
        <v>1595</v>
      </c>
      <c r="B780" t="s">
        <v>1596</v>
      </c>
      <c r="C780" t="s">
        <v>11</v>
      </c>
      <c r="D780" t="s">
        <v>36</v>
      </c>
      <c r="E780" s="4">
        <v>45381</v>
      </c>
      <c r="F780" s="4">
        <v>45383</v>
      </c>
      <c r="G780" s="1">
        <v>2</v>
      </c>
      <c r="H780" s="1">
        <v>6.25</v>
      </c>
      <c r="I780" t="s">
        <v>13</v>
      </c>
      <c r="J780" t="s">
        <v>2141</v>
      </c>
      <c r="K780" t="s">
        <v>28</v>
      </c>
      <c r="L780" s="1" t="str">
        <f t="shared" si="72"/>
        <v>2024</v>
      </c>
      <c r="M780" t="str">
        <f t="shared" si="73"/>
        <v>Mar</v>
      </c>
      <c r="N780" t="str">
        <f t="shared" si="74"/>
        <v>Sat</v>
      </c>
      <c r="O780" s="1">
        <f t="shared" si="75"/>
        <v>2</v>
      </c>
      <c r="P780" s="1">
        <f t="shared" si="76"/>
        <v>12.5</v>
      </c>
      <c r="Q780" s="1">
        <f>ROUND(G780*H780*VLOOKUP(D780,'Cost Product'!A$1:C$21,3,FALSE),0)</f>
        <v>7</v>
      </c>
      <c r="R780" s="1">
        <f t="shared" si="77"/>
        <v>5.5</v>
      </c>
    </row>
    <row r="781" spans="1:18" x14ac:dyDescent="0.25">
      <c r="A781" s="1" t="s">
        <v>1597</v>
      </c>
      <c r="B781" t="s">
        <v>1598</v>
      </c>
      <c r="C781" t="s">
        <v>26</v>
      </c>
      <c r="D781" t="s">
        <v>82</v>
      </c>
      <c r="E781" s="4">
        <v>45276</v>
      </c>
      <c r="F781" s="4">
        <v>45280</v>
      </c>
      <c r="G781" s="1">
        <v>5</v>
      </c>
      <c r="H781" s="1">
        <v>4.25</v>
      </c>
      <c r="I781" t="s">
        <v>13</v>
      </c>
      <c r="J781" t="s">
        <v>2141</v>
      </c>
      <c r="K781" t="s">
        <v>19</v>
      </c>
      <c r="L781" s="1" t="str">
        <f t="shared" si="72"/>
        <v>2023</v>
      </c>
      <c r="M781" t="str">
        <f t="shared" si="73"/>
        <v>Dec</v>
      </c>
      <c r="N781" t="str">
        <f t="shared" si="74"/>
        <v>Sat</v>
      </c>
      <c r="O781" s="1">
        <f t="shared" si="75"/>
        <v>4</v>
      </c>
      <c r="P781" s="1">
        <f t="shared" si="76"/>
        <v>21.25</v>
      </c>
      <c r="Q781" s="1">
        <f>ROUND(G781*H781*VLOOKUP(D781,'Cost Product'!A$1:C$21,3,FALSE),0)</f>
        <v>10</v>
      </c>
      <c r="R781" s="1">
        <f t="shared" si="77"/>
        <v>11.25</v>
      </c>
    </row>
    <row r="782" spans="1:18" x14ac:dyDescent="0.25">
      <c r="A782" s="1" t="s">
        <v>1599</v>
      </c>
      <c r="B782" t="s">
        <v>1600</v>
      </c>
      <c r="C782" t="s">
        <v>22</v>
      </c>
      <c r="D782" t="s">
        <v>62</v>
      </c>
      <c r="E782" s="4">
        <v>45564</v>
      </c>
      <c r="F782" s="4">
        <v>45566</v>
      </c>
      <c r="G782" s="1">
        <v>1</v>
      </c>
      <c r="H782" s="1">
        <v>8</v>
      </c>
      <c r="I782" t="s">
        <v>40</v>
      </c>
      <c r="J782" t="s">
        <v>2144</v>
      </c>
      <c r="K782" t="s">
        <v>28</v>
      </c>
      <c r="L782" s="1" t="str">
        <f t="shared" si="72"/>
        <v>2024</v>
      </c>
      <c r="M782" t="str">
        <f t="shared" si="73"/>
        <v>Sep</v>
      </c>
      <c r="N782" t="str">
        <f t="shared" si="74"/>
        <v>Sun</v>
      </c>
      <c r="O782" s="1">
        <f t="shared" si="75"/>
        <v>2</v>
      </c>
      <c r="P782" s="1">
        <f t="shared" si="76"/>
        <v>8</v>
      </c>
      <c r="Q782" s="1">
        <f>ROUND(G782*H782*VLOOKUP(D782,'Cost Product'!A$1:C$21,3,FALSE),0)</f>
        <v>5</v>
      </c>
      <c r="R782" s="1">
        <f t="shared" si="77"/>
        <v>3</v>
      </c>
    </row>
    <row r="783" spans="1:18" x14ac:dyDescent="0.25">
      <c r="A783" s="1" t="s">
        <v>1601</v>
      </c>
      <c r="B783" t="s">
        <v>1602</v>
      </c>
      <c r="C783" t="s">
        <v>17</v>
      </c>
      <c r="D783" t="s">
        <v>50</v>
      </c>
      <c r="E783" s="4">
        <v>45561</v>
      </c>
      <c r="F783" s="4">
        <v>45562</v>
      </c>
      <c r="G783" s="1">
        <v>1</v>
      </c>
      <c r="H783" s="1">
        <v>5.25</v>
      </c>
      <c r="I783" t="s">
        <v>13</v>
      </c>
      <c r="J783" t="s">
        <v>2141</v>
      </c>
      <c r="K783" t="s">
        <v>28</v>
      </c>
      <c r="L783" s="1" t="str">
        <f t="shared" si="72"/>
        <v>2024</v>
      </c>
      <c r="M783" t="str">
        <f t="shared" si="73"/>
        <v>Sep</v>
      </c>
      <c r="N783" t="str">
        <f t="shared" si="74"/>
        <v>Thu</v>
      </c>
      <c r="O783" s="1">
        <f t="shared" si="75"/>
        <v>1</v>
      </c>
      <c r="P783" s="1">
        <f t="shared" si="76"/>
        <v>5.25</v>
      </c>
      <c r="Q783" s="1">
        <f>ROUND(G783*H783*VLOOKUP(D783,'Cost Product'!A$1:C$21,3,FALSE),0)</f>
        <v>3</v>
      </c>
      <c r="R783" s="1">
        <f t="shared" si="77"/>
        <v>2.25</v>
      </c>
    </row>
    <row r="784" spans="1:18" x14ac:dyDescent="0.25">
      <c r="A784" s="1" t="s">
        <v>1603</v>
      </c>
      <c r="B784" t="s">
        <v>1604</v>
      </c>
      <c r="C784" t="s">
        <v>17</v>
      </c>
      <c r="D784" t="s">
        <v>53</v>
      </c>
      <c r="E784" s="4">
        <v>45231</v>
      </c>
      <c r="F784" s="4">
        <v>45232</v>
      </c>
      <c r="G784" s="1">
        <v>1</v>
      </c>
      <c r="H784" s="1">
        <v>4.75</v>
      </c>
      <c r="I784" t="s">
        <v>13</v>
      </c>
      <c r="J784" t="s">
        <v>2142</v>
      </c>
      <c r="K784" t="s">
        <v>19</v>
      </c>
      <c r="L784" s="1" t="str">
        <f t="shared" si="72"/>
        <v>2023</v>
      </c>
      <c r="M784" t="str">
        <f t="shared" si="73"/>
        <v>Nov</v>
      </c>
      <c r="N784" t="str">
        <f t="shared" si="74"/>
        <v>Wed</v>
      </c>
      <c r="O784" s="1">
        <f t="shared" si="75"/>
        <v>1</v>
      </c>
      <c r="P784" s="1">
        <f t="shared" si="76"/>
        <v>4.75</v>
      </c>
      <c r="Q784" s="1">
        <f>ROUND(G784*H784*VLOOKUP(D784,'Cost Product'!A$1:C$21,3,FALSE),0)</f>
        <v>3</v>
      </c>
      <c r="R784" s="1">
        <f t="shared" si="77"/>
        <v>1.75</v>
      </c>
    </row>
    <row r="785" spans="1:18" x14ac:dyDescent="0.25">
      <c r="A785" s="1" t="s">
        <v>1605</v>
      </c>
      <c r="B785" t="s">
        <v>1606</v>
      </c>
      <c r="C785" t="s">
        <v>17</v>
      </c>
      <c r="D785" t="s">
        <v>79</v>
      </c>
      <c r="E785" s="4">
        <v>45169</v>
      </c>
      <c r="F785" s="4">
        <v>45171</v>
      </c>
      <c r="G785" s="1">
        <v>3</v>
      </c>
      <c r="H785" s="1">
        <v>5</v>
      </c>
      <c r="I785" t="s">
        <v>13</v>
      </c>
      <c r="J785" t="s">
        <v>2141</v>
      </c>
      <c r="K785" t="s">
        <v>14</v>
      </c>
      <c r="L785" s="1" t="str">
        <f t="shared" si="72"/>
        <v>2023</v>
      </c>
      <c r="M785" t="str">
        <f t="shared" si="73"/>
        <v>Aug</v>
      </c>
      <c r="N785" t="str">
        <f t="shared" si="74"/>
        <v>Thu</v>
      </c>
      <c r="O785" s="1">
        <f t="shared" si="75"/>
        <v>2</v>
      </c>
      <c r="P785" s="1">
        <f t="shared" si="76"/>
        <v>15</v>
      </c>
      <c r="Q785" s="1">
        <f>ROUND(G785*H785*VLOOKUP(D785,'Cost Product'!A$1:C$21,3,FALSE),0)</f>
        <v>8</v>
      </c>
      <c r="R785" s="1">
        <f t="shared" si="77"/>
        <v>7</v>
      </c>
    </row>
    <row r="786" spans="1:18" x14ac:dyDescent="0.25">
      <c r="A786" s="1" t="s">
        <v>1607</v>
      </c>
      <c r="B786" t="s">
        <v>1608</v>
      </c>
      <c r="C786" t="s">
        <v>11</v>
      </c>
      <c r="D786" t="s">
        <v>39</v>
      </c>
      <c r="E786" s="4">
        <v>45513</v>
      </c>
      <c r="F786" s="4">
        <v>45514</v>
      </c>
      <c r="G786" s="1">
        <v>1</v>
      </c>
      <c r="H786" s="1">
        <v>5.75</v>
      </c>
      <c r="I786" t="s">
        <v>13</v>
      </c>
      <c r="J786" t="s">
        <v>2141</v>
      </c>
      <c r="K786" t="s">
        <v>14</v>
      </c>
      <c r="L786" s="1" t="str">
        <f t="shared" si="72"/>
        <v>2024</v>
      </c>
      <c r="M786" t="str">
        <f t="shared" si="73"/>
        <v>Aug</v>
      </c>
      <c r="N786" t="str">
        <f t="shared" si="74"/>
        <v>Fri</v>
      </c>
      <c r="O786" s="1">
        <f t="shared" si="75"/>
        <v>1</v>
      </c>
      <c r="P786" s="1">
        <f t="shared" si="76"/>
        <v>5.75</v>
      </c>
      <c r="Q786" s="1">
        <f>ROUND(G786*H786*VLOOKUP(D786,'Cost Product'!A$1:C$21,3,FALSE),0)</f>
        <v>3</v>
      </c>
      <c r="R786" s="1">
        <f t="shared" si="77"/>
        <v>2.75</v>
      </c>
    </row>
    <row r="787" spans="1:18" x14ac:dyDescent="0.25">
      <c r="A787" s="1" t="s">
        <v>1609</v>
      </c>
      <c r="B787" t="s">
        <v>1610</v>
      </c>
      <c r="C787" t="s">
        <v>26</v>
      </c>
      <c r="D787" t="s">
        <v>82</v>
      </c>
      <c r="E787" s="4">
        <v>45379</v>
      </c>
      <c r="F787" s="4">
        <v>45384</v>
      </c>
      <c r="G787" s="1">
        <v>5</v>
      </c>
      <c r="H787" s="1">
        <v>4.25</v>
      </c>
      <c r="I787" t="s">
        <v>13</v>
      </c>
      <c r="J787" t="s">
        <v>2143</v>
      </c>
      <c r="K787" t="s">
        <v>28</v>
      </c>
      <c r="L787" s="1" t="str">
        <f t="shared" si="72"/>
        <v>2024</v>
      </c>
      <c r="M787" t="str">
        <f t="shared" si="73"/>
        <v>Mar</v>
      </c>
      <c r="N787" t="str">
        <f t="shared" si="74"/>
        <v>Thu</v>
      </c>
      <c r="O787" s="1">
        <f t="shared" si="75"/>
        <v>5</v>
      </c>
      <c r="P787" s="1">
        <f t="shared" si="76"/>
        <v>21.25</v>
      </c>
      <c r="Q787" s="1">
        <f>ROUND(G787*H787*VLOOKUP(D787,'Cost Product'!A$1:C$21,3,FALSE),0)</f>
        <v>10</v>
      </c>
      <c r="R787" s="1">
        <f t="shared" si="77"/>
        <v>11.25</v>
      </c>
    </row>
    <row r="788" spans="1:18" x14ac:dyDescent="0.25">
      <c r="A788" s="1" t="s">
        <v>1611</v>
      </c>
      <c r="B788" t="s">
        <v>1612</v>
      </c>
      <c r="C788" t="s">
        <v>17</v>
      </c>
      <c r="D788" t="s">
        <v>53</v>
      </c>
      <c r="E788" s="4">
        <v>45329</v>
      </c>
      <c r="F788" s="4">
        <v>45331</v>
      </c>
      <c r="G788" s="1">
        <v>3</v>
      </c>
      <c r="H788" s="1">
        <v>4.75</v>
      </c>
      <c r="I788" t="s">
        <v>13</v>
      </c>
      <c r="J788" t="s">
        <v>2141</v>
      </c>
      <c r="K788" t="s">
        <v>28</v>
      </c>
      <c r="L788" s="1" t="str">
        <f t="shared" si="72"/>
        <v>2024</v>
      </c>
      <c r="M788" t="str">
        <f t="shared" si="73"/>
        <v>Feb</v>
      </c>
      <c r="N788" t="str">
        <f t="shared" si="74"/>
        <v>Wed</v>
      </c>
      <c r="O788" s="1">
        <f t="shared" si="75"/>
        <v>2</v>
      </c>
      <c r="P788" s="1">
        <f t="shared" si="76"/>
        <v>14.25</v>
      </c>
      <c r="Q788" s="1">
        <f>ROUND(G788*H788*VLOOKUP(D788,'Cost Product'!A$1:C$21,3,FALSE),0)</f>
        <v>8</v>
      </c>
      <c r="R788" s="1">
        <f t="shared" si="77"/>
        <v>6.25</v>
      </c>
    </row>
    <row r="789" spans="1:18" x14ac:dyDescent="0.25">
      <c r="A789" s="1" t="s">
        <v>1613</v>
      </c>
      <c r="B789" t="s">
        <v>1614</v>
      </c>
      <c r="C789" t="s">
        <v>65</v>
      </c>
      <c r="D789" t="s">
        <v>66</v>
      </c>
      <c r="E789" s="4">
        <v>45354</v>
      </c>
      <c r="F789" s="4">
        <v>45360</v>
      </c>
      <c r="G789" s="1">
        <v>1</v>
      </c>
      <c r="H789" s="1">
        <v>3.5</v>
      </c>
      <c r="I789" t="s">
        <v>13</v>
      </c>
      <c r="J789" t="s">
        <v>2142</v>
      </c>
      <c r="K789" t="s">
        <v>19</v>
      </c>
      <c r="L789" s="1" t="str">
        <f t="shared" si="72"/>
        <v>2024</v>
      </c>
      <c r="M789" t="str">
        <f t="shared" si="73"/>
        <v>Mar</v>
      </c>
      <c r="N789" t="str">
        <f t="shared" si="74"/>
        <v>Sun</v>
      </c>
      <c r="O789" s="1">
        <f t="shared" si="75"/>
        <v>6</v>
      </c>
      <c r="P789" s="1">
        <f t="shared" si="76"/>
        <v>3.5</v>
      </c>
      <c r="Q789" s="1">
        <f>ROUND(G789*H789*VLOOKUP(D789,'Cost Product'!A$1:C$21,3,FALSE),0)</f>
        <v>2</v>
      </c>
      <c r="R789" s="1">
        <f t="shared" si="77"/>
        <v>1.5</v>
      </c>
    </row>
    <row r="790" spans="1:18" x14ac:dyDescent="0.25">
      <c r="A790" s="1" t="s">
        <v>1615</v>
      </c>
      <c r="B790" t="s">
        <v>1616</v>
      </c>
      <c r="C790" t="s">
        <v>17</v>
      </c>
      <c r="D790" t="s">
        <v>18</v>
      </c>
      <c r="E790" s="4">
        <v>45387</v>
      </c>
      <c r="F790" s="4">
        <v>45390</v>
      </c>
      <c r="G790" s="1">
        <v>1</v>
      </c>
      <c r="H790" s="1">
        <v>5.5</v>
      </c>
      <c r="I790" t="s">
        <v>13</v>
      </c>
      <c r="J790" t="s">
        <v>2141</v>
      </c>
      <c r="K790" t="s">
        <v>28</v>
      </c>
      <c r="L790" s="1" t="str">
        <f t="shared" si="72"/>
        <v>2024</v>
      </c>
      <c r="M790" t="str">
        <f t="shared" si="73"/>
        <v>Apr</v>
      </c>
      <c r="N790" t="str">
        <f t="shared" si="74"/>
        <v>Fri</v>
      </c>
      <c r="O790" s="1">
        <f t="shared" si="75"/>
        <v>3</v>
      </c>
      <c r="P790" s="1">
        <f t="shared" si="76"/>
        <v>5.5</v>
      </c>
      <c r="Q790" s="1">
        <f>ROUND(G790*H790*VLOOKUP(D790,'Cost Product'!A$1:C$21,3,FALSE),0)</f>
        <v>3</v>
      </c>
      <c r="R790" s="1">
        <f t="shared" si="77"/>
        <v>2.5</v>
      </c>
    </row>
    <row r="791" spans="1:18" x14ac:dyDescent="0.25">
      <c r="A791" s="1" t="s">
        <v>1617</v>
      </c>
      <c r="B791" t="s">
        <v>1618</v>
      </c>
      <c r="C791" t="s">
        <v>17</v>
      </c>
      <c r="D791" t="s">
        <v>18</v>
      </c>
      <c r="E791" s="4">
        <v>45389</v>
      </c>
      <c r="F791" s="4">
        <v>45393</v>
      </c>
      <c r="G791" s="1">
        <v>3</v>
      </c>
      <c r="H791" s="1">
        <v>5.5</v>
      </c>
      <c r="I791" t="s">
        <v>13</v>
      </c>
      <c r="J791" t="s">
        <v>2144</v>
      </c>
      <c r="K791" t="s">
        <v>14</v>
      </c>
      <c r="L791" s="1" t="str">
        <f t="shared" si="72"/>
        <v>2024</v>
      </c>
      <c r="M791" t="str">
        <f t="shared" si="73"/>
        <v>Apr</v>
      </c>
      <c r="N791" t="str">
        <f t="shared" si="74"/>
        <v>Sun</v>
      </c>
      <c r="O791" s="1">
        <f t="shared" si="75"/>
        <v>4</v>
      </c>
      <c r="P791" s="1">
        <f t="shared" si="76"/>
        <v>16.5</v>
      </c>
      <c r="Q791" s="1">
        <f>ROUND(G791*H791*VLOOKUP(D791,'Cost Product'!A$1:C$21,3,FALSE),0)</f>
        <v>10</v>
      </c>
      <c r="R791" s="1">
        <f t="shared" si="77"/>
        <v>6.5</v>
      </c>
    </row>
    <row r="792" spans="1:18" x14ac:dyDescent="0.25">
      <c r="A792" s="1" t="s">
        <v>1619</v>
      </c>
      <c r="B792" t="s">
        <v>1620</v>
      </c>
      <c r="C792" t="s">
        <v>11</v>
      </c>
      <c r="D792" t="s">
        <v>39</v>
      </c>
      <c r="E792" s="4">
        <v>45571</v>
      </c>
      <c r="F792" s="4">
        <v>45574</v>
      </c>
      <c r="G792" s="1">
        <v>4</v>
      </c>
      <c r="H792" s="1">
        <v>5.75</v>
      </c>
      <c r="I792" t="s">
        <v>13</v>
      </c>
      <c r="J792" t="s">
        <v>2141</v>
      </c>
      <c r="K792" t="s">
        <v>19</v>
      </c>
      <c r="L792" s="1" t="str">
        <f t="shared" si="72"/>
        <v>2024</v>
      </c>
      <c r="M792" t="str">
        <f t="shared" si="73"/>
        <v>Oct</v>
      </c>
      <c r="N792" t="str">
        <f t="shared" si="74"/>
        <v>Sun</v>
      </c>
      <c r="O792" s="1">
        <f t="shared" si="75"/>
        <v>3</v>
      </c>
      <c r="P792" s="1">
        <f t="shared" si="76"/>
        <v>23</v>
      </c>
      <c r="Q792" s="1">
        <f>ROUND(G792*H792*VLOOKUP(D792,'Cost Product'!A$1:C$21,3,FALSE),0)</f>
        <v>12</v>
      </c>
      <c r="R792" s="1">
        <f t="shared" si="77"/>
        <v>11</v>
      </c>
    </row>
    <row r="793" spans="1:18" x14ac:dyDescent="0.25">
      <c r="A793" s="1" t="s">
        <v>1621</v>
      </c>
      <c r="B793" t="s">
        <v>1622</v>
      </c>
      <c r="C793" t="s">
        <v>11</v>
      </c>
      <c r="D793" t="s">
        <v>31</v>
      </c>
      <c r="E793" s="4">
        <v>45587</v>
      </c>
      <c r="F793" s="4">
        <v>45590</v>
      </c>
      <c r="G793" s="1">
        <v>3</v>
      </c>
      <c r="H793" s="1">
        <v>5.5</v>
      </c>
      <c r="I793" t="s">
        <v>13</v>
      </c>
      <c r="J793" t="s">
        <v>2141</v>
      </c>
      <c r="K793" t="s">
        <v>28</v>
      </c>
      <c r="L793" s="1" t="str">
        <f t="shared" si="72"/>
        <v>2024</v>
      </c>
      <c r="M793" t="str">
        <f t="shared" si="73"/>
        <v>Oct</v>
      </c>
      <c r="N793" t="str">
        <f t="shared" si="74"/>
        <v>Tue</v>
      </c>
      <c r="O793" s="1">
        <f t="shared" si="75"/>
        <v>3</v>
      </c>
      <c r="P793" s="1">
        <f t="shared" si="76"/>
        <v>16.5</v>
      </c>
      <c r="Q793" s="1">
        <f>ROUND(G793*H793*VLOOKUP(D793,'Cost Product'!A$1:C$21,3,FALSE),0)</f>
        <v>9</v>
      </c>
      <c r="R793" s="1">
        <f t="shared" si="77"/>
        <v>7.5</v>
      </c>
    </row>
    <row r="794" spans="1:18" x14ac:dyDescent="0.25">
      <c r="A794" s="1" t="s">
        <v>1623</v>
      </c>
      <c r="B794" t="s">
        <v>1624</v>
      </c>
      <c r="C794" t="s">
        <v>26</v>
      </c>
      <c r="D794" t="s">
        <v>45</v>
      </c>
      <c r="E794" s="4">
        <v>45189</v>
      </c>
      <c r="F794" s="4">
        <v>45191</v>
      </c>
      <c r="G794" s="1">
        <v>5</v>
      </c>
      <c r="H794" s="1">
        <v>4.5</v>
      </c>
      <c r="I794" t="s">
        <v>13</v>
      </c>
      <c r="J794" t="s">
        <v>2141</v>
      </c>
      <c r="K794" t="s">
        <v>28</v>
      </c>
      <c r="L794" s="1" t="str">
        <f t="shared" si="72"/>
        <v>2023</v>
      </c>
      <c r="M794" t="str">
        <f t="shared" si="73"/>
        <v>Sep</v>
      </c>
      <c r="N794" t="str">
        <f t="shared" si="74"/>
        <v>Wed</v>
      </c>
      <c r="O794" s="1">
        <f t="shared" si="75"/>
        <v>2</v>
      </c>
      <c r="P794" s="1">
        <f t="shared" si="76"/>
        <v>22.5</v>
      </c>
      <c r="Q794" s="1">
        <f>ROUND(G794*H794*VLOOKUP(D794,'Cost Product'!A$1:C$21,3,FALSE),0)</f>
        <v>12</v>
      </c>
      <c r="R794" s="1">
        <f t="shared" si="77"/>
        <v>10.5</v>
      </c>
    </row>
    <row r="795" spans="1:18" x14ac:dyDescent="0.25">
      <c r="A795" s="1" t="s">
        <v>1625</v>
      </c>
      <c r="B795" t="s">
        <v>1626</v>
      </c>
      <c r="C795" t="s">
        <v>22</v>
      </c>
      <c r="D795" t="s">
        <v>62</v>
      </c>
      <c r="E795" s="4">
        <v>45357</v>
      </c>
      <c r="F795" s="4">
        <v>45368</v>
      </c>
      <c r="G795" s="1">
        <v>4</v>
      </c>
      <c r="H795" s="1">
        <v>8</v>
      </c>
      <c r="I795" t="s">
        <v>13</v>
      </c>
      <c r="J795" t="s">
        <v>2144</v>
      </c>
      <c r="K795" t="s">
        <v>28</v>
      </c>
      <c r="L795" s="1" t="str">
        <f t="shared" si="72"/>
        <v>2024</v>
      </c>
      <c r="M795" t="str">
        <f t="shared" si="73"/>
        <v>Mar</v>
      </c>
      <c r="N795" t="str">
        <f t="shared" si="74"/>
        <v>Wed</v>
      </c>
      <c r="O795" s="1">
        <f t="shared" si="75"/>
        <v>11</v>
      </c>
      <c r="P795" s="1">
        <f t="shared" si="76"/>
        <v>32</v>
      </c>
      <c r="Q795" s="1">
        <f>ROUND(G795*H795*VLOOKUP(D795,'Cost Product'!A$1:C$21,3,FALSE),0)</f>
        <v>19</v>
      </c>
      <c r="R795" s="1">
        <f t="shared" si="77"/>
        <v>13</v>
      </c>
    </row>
    <row r="796" spans="1:18" x14ac:dyDescent="0.25">
      <c r="A796" s="1" t="s">
        <v>1627</v>
      </c>
      <c r="B796" t="s">
        <v>1628</v>
      </c>
      <c r="C796" t="s">
        <v>17</v>
      </c>
      <c r="D796" t="s">
        <v>50</v>
      </c>
      <c r="E796" s="4">
        <v>45291</v>
      </c>
      <c r="F796" s="4">
        <v>45292</v>
      </c>
      <c r="G796" s="1">
        <v>3</v>
      </c>
      <c r="H796" s="1">
        <v>5.25</v>
      </c>
      <c r="I796" t="s">
        <v>13</v>
      </c>
      <c r="J796" t="s">
        <v>2141</v>
      </c>
      <c r="K796" t="s">
        <v>19</v>
      </c>
      <c r="L796" s="1" t="str">
        <f t="shared" si="72"/>
        <v>2023</v>
      </c>
      <c r="M796" t="str">
        <f t="shared" si="73"/>
        <v>Dec</v>
      </c>
      <c r="N796" t="str">
        <f t="shared" si="74"/>
        <v>Sun</v>
      </c>
      <c r="O796" s="1">
        <f t="shared" si="75"/>
        <v>1</v>
      </c>
      <c r="P796" s="1">
        <f t="shared" si="76"/>
        <v>15.75</v>
      </c>
      <c r="Q796" s="1">
        <f>ROUND(G796*H796*VLOOKUP(D796,'Cost Product'!A$1:C$21,3,FALSE),0)</f>
        <v>9</v>
      </c>
      <c r="R796" s="1">
        <f t="shared" si="77"/>
        <v>6.75</v>
      </c>
    </row>
    <row r="797" spans="1:18" x14ac:dyDescent="0.25">
      <c r="A797" s="1" t="s">
        <v>1629</v>
      </c>
      <c r="B797" t="s">
        <v>1630</v>
      </c>
      <c r="C797" t="s">
        <v>11</v>
      </c>
      <c r="D797" t="s">
        <v>36</v>
      </c>
      <c r="E797" s="4">
        <v>45538</v>
      </c>
      <c r="F797" s="4">
        <v>45540</v>
      </c>
      <c r="G797" s="1">
        <v>3</v>
      </c>
      <c r="H797" s="1">
        <v>6.25</v>
      </c>
      <c r="I797" t="s">
        <v>13</v>
      </c>
      <c r="J797" t="s">
        <v>2143</v>
      </c>
      <c r="K797" t="s">
        <v>28</v>
      </c>
      <c r="L797" s="1" t="str">
        <f t="shared" si="72"/>
        <v>2024</v>
      </c>
      <c r="M797" t="str">
        <f t="shared" si="73"/>
        <v>Sep</v>
      </c>
      <c r="N797" t="str">
        <f t="shared" si="74"/>
        <v>Tue</v>
      </c>
      <c r="O797" s="1">
        <f t="shared" si="75"/>
        <v>2</v>
      </c>
      <c r="P797" s="1">
        <f t="shared" si="76"/>
        <v>18.75</v>
      </c>
      <c r="Q797" s="1">
        <f>ROUND(G797*H797*VLOOKUP(D797,'Cost Product'!A$1:C$21,3,FALSE),0)</f>
        <v>10</v>
      </c>
      <c r="R797" s="1">
        <f t="shared" si="77"/>
        <v>8.75</v>
      </c>
    </row>
    <row r="798" spans="1:18" x14ac:dyDescent="0.25">
      <c r="A798" s="1" t="s">
        <v>1631</v>
      </c>
      <c r="B798" t="s">
        <v>1632</v>
      </c>
      <c r="C798" t="s">
        <v>11</v>
      </c>
      <c r="D798" t="s">
        <v>31</v>
      </c>
      <c r="E798" s="4">
        <v>45486</v>
      </c>
      <c r="F798" s="4">
        <v>45488</v>
      </c>
      <c r="G798" s="1">
        <v>5</v>
      </c>
      <c r="H798" s="1">
        <v>5.5</v>
      </c>
      <c r="I798" t="s">
        <v>13</v>
      </c>
      <c r="J798" t="s">
        <v>2141</v>
      </c>
      <c r="K798" t="s">
        <v>28</v>
      </c>
      <c r="L798" s="1" t="str">
        <f t="shared" si="72"/>
        <v>2024</v>
      </c>
      <c r="M798" t="str">
        <f t="shared" si="73"/>
        <v>Jul</v>
      </c>
      <c r="N798" t="str">
        <f t="shared" si="74"/>
        <v>Sat</v>
      </c>
      <c r="O798" s="1">
        <f t="shared" si="75"/>
        <v>2</v>
      </c>
      <c r="P798" s="1">
        <f t="shared" si="76"/>
        <v>27.5</v>
      </c>
      <c r="Q798" s="1">
        <f>ROUND(G798*H798*VLOOKUP(D798,'Cost Product'!A$1:C$21,3,FALSE),0)</f>
        <v>14</v>
      </c>
      <c r="R798" s="1">
        <f t="shared" si="77"/>
        <v>13.5</v>
      </c>
    </row>
    <row r="799" spans="1:18" x14ac:dyDescent="0.25">
      <c r="A799" s="1" t="s">
        <v>1633</v>
      </c>
      <c r="B799" t="s">
        <v>1634</v>
      </c>
      <c r="C799" t="s">
        <v>26</v>
      </c>
      <c r="D799" t="s">
        <v>82</v>
      </c>
      <c r="E799" s="4">
        <v>45423</v>
      </c>
      <c r="F799" s="4">
        <v>45424</v>
      </c>
      <c r="G799" s="1">
        <v>2</v>
      </c>
      <c r="H799" s="1">
        <v>4.25</v>
      </c>
      <c r="I799" t="s">
        <v>13</v>
      </c>
      <c r="J799" t="s">
        <v>2143</v>
      </c>
      <c r="K799" t="s">
        <v>19</v>
      </c>
      <c r="L799" s="1" t="str">
        <f t="shared" si="72"/>
        <v>2024</v>
      </c>
      <c r="M799" t="str">
        <f t="shared" si="73"/>
        <v>May</v>
      </c>
      <c r="N799" t="str">
        <f t="shared" si="74"/>
        <v>Sat</v>
      </c>
      <c r="O799" s="1">
        <f t="shared" si="75"/>
        <v>1</v>
      </c>
      <c r="P799" s="1">
        <f t="shared" si="76"/>
        <v>8.5</v>
      </c>
      <c r="Q799" s="1">
        <f>ROUND(G799*H799*VLOOKUP(D799,'Cost Product'!A$1:C$21,3,FALSE),0)</f>
        <v>4</v>
      </c>
      <c r="R799" s="1">
        <f t="shared" si="77"/>
        <v>4.5</v>
      </c>
    </row>
    <row r="800" spans="1:18" x14ac:dyDescent="0.25">
      <c r="A800" s="1" t="s">
        <v>1635</v>
      </c>
      <c r="B800" t="s">
        <v>1636</v>
      </c>
      <c r="C800" t="s">
        <v>65</v>
      </c>
      <c r="D800" t="s">
        <v>120</v>
      </c>
      <c r="E800" s="4">
        <v>45151</v>
      </c>
      <c r="F800" s="4">
        <v>45152</v>
      </c>
      <c r="G800" s="1">
        <v>5</v>
      </c>
      <c r="H800" s="1">
        <v>3.75</v>
      </c>
      <c r="I800" t="s">
        <v>13</v>
      </c>
      <c r="J800" t="s">
        <v>2142</v>
      </c>
      <c r="K800" t="s">
        <v>19</v>
      </c>
      <c r="L800" s="1" t="str">
        <f t="shared" si="72"/>
        <v>2023</v>
      </c>
      <c r="M800" t="str">
        <f t="shared" si="73"/>
        <v>Aug</v>
      </c>
      <c r="N800" t="str">
        <f t="shared" si="74"/>
        <v>Sun</v>
      </c>
      <c r="O800" s="1">
        <f t="shared" si="75"/>
        <v>1</v>
      </c>
      <c r="P800" s="1">
        <f t="shared" si="76"/>
        <v>18.75</v>
      </c>
      <c r="Q800" s="1">
        <f>ROUND(G800*H800*VLOOKUP(D800,'Cost Product'!A$1:C$21,3,FALSE),0)</f>
        <v>9</v>
      </c>
      <c r="R800" s="1">
        <f t="shared" si="77"/>
        <v>9.75</v>
      </c>
    </row>
    <row r="801" spans="1:18" x14ac:dyDescent="0.25">
      <c r="A801" s="1" t="s">
        <v>1637</v>
      </c>
      <c r="B801" t="s">
        <v>1638</v>
      </c>
      <c r="C801" t="s">
        <v>11</v>
      </c>
      <c r="D801" t="s">
        <v>39</v>
      </c>
      <c r="E801" s="4">
        <v>45392</v>
      </c>
      <c r="F801" s="4">
        <v>45393</v>
      </c>
      <c r="G801" s="1">
        <v>1</v>
      </c>
      <c r="H801" s="1">
        <v>5.75</v>
      </c>
      <c r="I801" t="s">
        <v>13</v>
      </c>
      <c r="J801" t="s">
        <v>2145</v>
      </c>
      <c r="K801" t="s">
        <v>28</v>
      </c>
      <c r="L801" s="1" t="str">
        <f t="shared" si="72"/>
        <v>2024</v>
      </c>
      <c r="M801" t="str">
        <f t="shared" si="73"/>
        <v>Apr</v>
      </c>
      <c r="N801" t="str">
        <f t="shared" si="74"/>
        <v>Wed</v>
      </c>
      <c r="O801" s="1">
        <f t="shared" si="75"/>
        <v>1</v>
      </c>
      <c r="P801" s="1">
        <f t="shared" si="76"/>
        <v>5.75</v>
      </c>
      <c r="Q801" s="1">
        <f>ROUND(G801*H801*VLOOKUP(D801,'Cost Product'!A$1:C$21,3,FALSE),0)</f>
        <v>3</v>
      </c>
      <c r="R801" s="1">
        <f t="shared" si="77"/>
        <v>2.75</v>
      </c>
    </row>
    <row r="802" spans="1:18" x14ac:dyDescent="0.25">
      <c r="A802" s="1" t="s">
        <v>1639</v>
      </c>
      <c r="B802" t="s">
        <v>1640</v>
      </c>
      <c r="C802" t="s">
        <v>26</v>
      </c>
      <c r="D802" t="s">
        <v>82</v>
      </c>
      <c r="E802" s="4">
        <v>45300</v>
      </c>
      <c r="F802" s="4">
        <v>45302</v>
      </c>
      <c r="G802" s="1">
        <v>3</v>
      </c>
      <c r="H802" s="1">
        <v>4.25</v>
      </c>
      <c r="I802" t="s">
        <v>40</v>
      </c>
      <c r="J802" t="s">
        <v>2141</v>
      </c>
      <c r="K802" t="s">
        <v>28</v>
      </c>
      <c r="L802" s="1" t="str">
        <f t="shared" si="72"/>
        <v>2024</v>
      </c>
      <c r="M802" t="str">
        <f t="shared" si="73"/>
        <v>Jan</v>
      </c>
      <c r="N802" t="str">
        <f t="shared" si="74"/>
        <v>Tue</v>
      </c>
      <c r="O802" s="1">
        <f t="shared" si="75"/>
        <v>2</v>
      </c>
      <c r="P802" s="1">
        <f t="shared" si="76"/>
        <v>12.75</v>
      </c>
      <c r="Q802" s="1">
        <f>ROUND(G802*H802*VLOOKUP(D802,'Cost Product'!A$1:C$21,3,FALSE),0)</f>
        <v>6</v>
      </c>
      <c r="R802" s="1">
        <f t="shared" si="77"/>
        <v>6.75</v>
      </c>
    </row>
    <row r="803" spans="1:18" x14ac:dyDescent="0.25">
      <c r="A803" s="1" t="s">
        <v>1641</v>
      </c>
      <c r="B803" t="s">
        <v>1642</v>
      </c>
      <c r="C803" t="s">
        <v>65</v>
      </c>
      <c r="D803" t="s">
        <v>115</v>
      </c>
      <c r="E803" s="4">
        <v>45185</v>
      </c>
      <c r="F803" s="4">
        <v>45188</v>
      </c>
      <c r="G803" s="1">
        <v>5</v>
      </c>
      <c r="H803" s="1">
        <v>3</v>
      </c>
      <c r="I803" t="s">
        <v>13</v>
      </c>
      <c r="J803" t="s">
        <v>2144</v>
      </c>
      <c r="K803" t="s">
        <v>14</v>
      </c>
      <c r="L803" s="1" t="str">
        <f t="shared" si="72"/>
        <v>2023</v>
      </c>
      <c r="M803" t="str">
        <f t="shared" si="73"/>
        <v>Sep</v>
      </c>
      <c r="N803" t="str">
        <f t="shared" si="74"/>
        <v>Sat</v>
      </c>
      <c r="O803" s="1">
        <f t="shared" si="75"/>
        <v>3</v>
      </c>
      <c r="P803" s="1">
        <f t="shared" si="76"/>
        <v>15</v>
      </c>
      <c r="Q803" s="1">
        <f>ROUND(G803*H803*VLOOKUP(D803,'Cost Product'!A$1:C$21,3,FALSE),0)</f>
        <v>7</v>
      </c>
      <c r="R803" s="1">
        <f t="shared" si="77"/>
        <v>8</v>
      </c>
    </row>
    <row r="804" spans="1:18" x14ac:dyDescent="0.25">
      <c r="A804" s="1" t="s">
        <v>1643</v>
      </c>
      <c r="B804" t="s">
        <v>1644</v>
      </c>
      <c r="C804" t="s">
        <v>22</v>
      </c>
      <c r="D804" t="s">
        <v>59</v>
      </c>
      <c r="E804" s="4">
        <v>45475</v>
      </c>
      <c r="F804" s="4">
        <v>45477</v>
      </c>
      <c r="G804" s="1">
        <v>2</v>
      </c>
      <c r="H804" s="1">
        <v>8.5</v>
      </c>
      <c r="I804" t="s">
        <v>13</v>
      </c>
      <c r="J804" t="s">
        <v>2146</v>
      </c>
      <c r="K804" t="s">
        <v>19</v>
      </c>
      <c r="L804" s="1" t="str">
        <f t="shared" si="72"/>
        <v>2024</v>
      </c>
      <c r="M804" t="str">
        <f t="shared" si="73"/>
        <v>Jul</v>
      </c>
      <c r="N804" t="str">
        <f t="shared" si="74"/>
        <v>Tue</v>
      </c>
      <c r="O804" s="1">
        <f t="shared" si="75"/>
        <v>2</v>
      </c>
      <c r="P804" s="1">
        <f t="shared" si="76"/>
        <v>17</v>
      </c>
      <c r="Q804" s="1">
        <f>ROUND(G804*H804*VLOOKUP(D804,'Cost Product'!A$1:C$21,3,FALSE),0)</f>
        <v>10</v>
      </c>
      <c r="R804" s="1">
        <f t="shared" si="77"/>
        <v>7</v>
      </c>
    </row>
    <row r="805" spans="1:18" x14ac:dyDescent="0.25">
      <c r="A805" s="1" t="s">
        <v>1645</v>
      </c>
      <c r="B805" t="s">
        <v>1646</v>
      </c>
      <c r="C805" t="s">
        <v>17</v>
      </c>
      <c r="D805" t="s">
        <v>53</v>
      </c>
      <c r="E805" s="4">
        <v>45551</v>
      </c>
      <c r="F805" s="4">
        <v>45554</v>
      </c>
      <c r="G805" s="1">
        <v>2</v>
      </c>
      <c r="H805" s="1">
        <v>4.75</v>
      </c>
      <c r="I805" t="s">
        <v>13</v>
      </c>
      <c r="J805" t="s">
        <v>2145</v>
      </c>
      <c r="K805" t="s">
        <v>28</v>
      </c>
      <c r="L805" s="1" t="str">
        <f t="shared" si="72"/>
        <v>2024</v>
      </c>
      <c r="M805" t="str">
        <f t="shared" si="73"/>
        <v>Sep</v>
      </c>
      <c r="N805" t="str">
        <f t="shared" si="74"/>
        <v>Mon</v>
      </c>
      <c r="O805" s="1">
        <f t="shared" si="75"/>
        <v>3</v>
      </c>
      <c r="P805" s="1">
        <f t="shared" si="76"/>
        <v>9.5</v>
      </c>
      <c r="Q805" s="1">
        <f>ROUND(G805*H805*VLOOKUP(D805,'Cost Product'!A$1:C$21,3,FALSE),0)</f>
        <v>5</v>
      </c>
      <c r="R805" s="1">
        <f t="shared" si="77"/>
        <v>4.5</v>
      </c>
    </row>
    <row r="806" spans="1:18" x14ac:dyDescent="0.25">
      <c r="A806" s="1" t="s">
        <v>1647</v>
      </c>
      <c r="B806" t="s">
        <v>1648</v>
      </c>
      <c r="C806" t="s">
        <v>11</v>
      </c>
      <c r="D806" t="s">
        <v>31</v>
      </c>
      <c r="E806" s="4">
        <v>45470</v>
      </c>
      <c r="F806" s="4">
        <v>45471</v>
      </c>
      <c r="G806" s="1">
        <v>2</v>
      </c>
      <c r="H806" s="1">
        <v>5.5</v>
      </c>
      <c r="I806" t="s">
        <v>13</v>
      </c>
      <c r="J806" t="s">
        <v>2141</v>
      </c>
      <c r="K806" t="s">
        <v>28</v>
      </c>
      <c r="L806" s="1" t="str">
        <f t="shared" si="72"/>
        <v>2024</v>
      </c>
      <c r="M806" t="str">
        <f t="shared" si="73"/>
        <v>Jun</v>
      </c>
      <c r="N806" t="str">
        <f t="shared" si="74"/>
        <v>Thu</v>
      </c>
      <c r="O806" s="1">
        <f t="shared" si="75"/>
        <v>1</v>
      </c>
      <c r="P806" s="1">
        <f t="shared" si="76"/>
        <v>11</v>
      </c>
      <c r="Q806" s="1">
        <f>ROUND(G806*H806*VLOOKUP(D806,'Cost Product'!A$1:C$21,3,FALSE),0)</f>
        <v>6</v>
      </c>
      <c r="R806" s="1">
        <f t="shared" si="77"/>
        <v>5</v>
      </c>
    </row>
    <row r="807" spans="1:18" x14ac:dyDescent="0.25">
      <c r="A807" s="1" t="s">
        <v>1649</v>
      </c>
      <c r="B807" t="s">
        <v>1650</v>
      </c>
      <c r="C807" t="s">
        <v>65</v>
      </c>
      <c r="D807" t="s">
        <v>66</v>
      </c>
      <c r="E807" s="4">
        <v>45513</v>
      </c>
      <c r="F807" s="4">
        <v>45516</v>
      </c>
      <c r="G807" s="1">
        <v>1</v>
      </c>
      <c r="H807" s="1">
        <v>3.5</v>
      </c>
      <c r="I807" t="s">
        <v>13</v>
      </c>
      <c r="J807" t="s">
        <v>2141</v>
      </c>
      <c r="K807" t="s">
        <v>28</v>
      </c>
      <c r="L807" s="1" t="str">
        <f t="shared" si="72"/>
        <v>2024</v>
      </c>
      <c r="M807" t="str">
        <f t="shared" si="73"/>
        <v>Aug</v>
      </c>
      <c r="N807" t="str">
        <f t="shared" si="74"/>
        <v>Fri</v>
      </c>
      <c r="O807" s="1">
        <f t="shared" si="75"/>
        <v>3</v>
      </c>
      <c r="P807" s="1">
        <f t="shared" si="76"/>
        <v>3.5</v>
      </c>
      <c r="Q807" s="1">
        <f>ROUND(G807*H807*VLOOKUP(D807,'Cost Product'!A$1:C$21,3,FALSE),0)</f>
        <v>2</v>
      </c>
      <c r="R807" s="1">
        <f t="shared" si="77"/>
        <v>1.5</v>
      </c>
    </row>
    <row r="808" spans="1:18" x14ac:dyDescent="0.25">
      <c r="A808" s="1" t="s">
        <v>1651</v>
      </c>
      <c r="B808" t="s">
        <v>1652</v>
      </c>
      <c r="C808" t="s">
        <v>65</v>
      </c>
      <c r="D808" s="3" t="s">
        <v>120</v>
      </c>
      <c r="E808" s="4">
        <v>45540</v>
      </c>
      <c r="F808" s="4">
        <v>45546</v>
      </c>
      <c r="G808" s="1">
        <v>2</v>
      </c>
      <c r="H808" s="1">
        <f>VLOOKUP(D808, 'Cost Product'!$A$2:$C$21, 2, FALSE)</f>
        <v>3.75</v>
      </c>
      <c r="I808" t="s">
        <v>13</v>
      </c>
      <c r="J808" t="s">
        <v>2144</v>
      </c>
      <c r="K808" t="s">
        <v>19</v>
      </c>
      <c r="L808" s="1" t="str">
        <f t="shared" si="72"/>
        <v>2024</v>
      </c>
      <c r="M808" t="str">
        <f t="shared" si="73"/>
        <v>Sep</v>
      </c>
      <c r="N808" t="str">
        <f t="shared" si="74"/>
        <v>Thu</v>
      </c>
      <c r="O808" s="1">
        <f t="shared" si="75"/>
        <v>6</v>
      </c>
      <c r="P808" s="1">
        <f t="shared" si="76"/>
        <v>7.5</v>
      </c>
      <c r="Q808" s="1">
        <f>ROUND(G808*H808*VLOOKUP(D808,'Cost Product'!A$1:C$21,3,FALSE),0)</f>
        <v>4</v>
      </c>
      <c r="R808" s="1">
        <f t="shared" si="77"/>
        <v>3.5</v>
      </c>
    </row>
    <row r="809" spans="1:18" x14ac:dyDescent="0.25">
      <c r="A809" s="1" t="s">
        <v>1653</v>
      </c>
      <c r="B809" t="s">
        <v>1654</v>
      </c>
      <c r="C809" t="s">
        <v>17</v>
      </c>
      <c r="D809" t="s">
        <v>53</v>
      </c>
      <c r="E809" s="4">
        <v>45506</v>
      </c>
      <c r="F809" s="4">
        <v>45512</v>
      </c>
      <c r="G809" s="1">
        <v>1</v>
      </c>
      <c r="H809" s="1">
        <v>4.75</v>
      </c>
      <c r="I809" t="s">
        <v>13</v>
      </c>
      <c r="J809" t="s">
        <v>2142</v>
      </c>
      <c r="K809" t="s">
        <v>14</v>
      </c>
      <c r="L809" s="1" t="str">
        <f t="shared" si="72"/>
        <v>2024</v>
      </c>
      <c r="M809" t="str">
        <f t="shared" si="73"/>
        <v>Aug</v>
      </c>
      <c r="N809" t="str">
        <f t="shared" si="74"/>
        <v>Fri</v>
      </c>
      <c r="O809" s="1">
        <f t="shared" si="75"/>
        <v>6</v>
      </c>
      <c r="P809" s="1">
        <f t="shared" si="76"/>
        <v>4.75</v>
      </c>
      <c r="Q809" s="1">
        <f>ROUND(G809*H809*VLOOKUP(D809,'Cost Product'!A$1:C$21,3,FALSE),0)</f>
        <v>3</v>
      </c>
      <c r="R809" s="1">
        <f t="shared" si="77"/>
        <v>1.75</v>
      </c>
    </row>
    <row r="810" spans="1:18" x14ac:dyDescent="0.25">
      <c r="A810" s="1" t="s">
        <v>1655</v>
      </c>
      <c r="B810" t="s">
        <v>1656</v>
      </c>
      <c r="C810" t="s">
        <v>26</v>
      </c>
      <c r="D810" t="s">
        <v>45</v>
      </c>
      <c r="E810" s="4">
        <v>45256</v>
      </c>
      <c r="F810" s="4">
        <v>45265</v>
      </c>
      <c r="G810" s="1">
        <v>2</v>
      </c>
      <c r="H810" s="1">
        <v>4.5</v>
      </c>
      <c r="I810" t="s">
        <v>13</v>
      </c>
      <c r="J810" t="s">
        <v>2143</v>
      </c>
      <c r="K810" t="s">
        <v>19</v>
      </c>
      <c r="L810" s="1" t="str">
        <f t="shared" si="72"/>
        <v>2023</v>
      </c>
      <c r="M810" t="str">
        <f t="shared" si="73"/>
        <v>Nov</v>
      </c>
      <c r="N810" t="str">
        <f t="shared" si="74"/>
        <v>Sun</v>
      </c>
      <c r="O810" s="1">
        <f t="shared" si="75"/>
        <v>9</v>
      </c>
      <c r="P810" s="1">
        <f t="shared" si="76"/>
        <v>9</v>
      </c>
      <c r="Q810" s="1">
        <f>ROUND(G810*H810*VLOOKUP(D810,'Cost Product'!A$1:C$21,3,FALSE),0)</f>
        <v>5</v>
      </c>
      <c r="R810" s="1">
        <f t="shared" si="77"/>
        <v>4</v>
      </c>
    </row>
    <row r="811" spans="1:18" x14ac:dyDescent="0.25">
      <c r="A811" s="1" t="s">
        <v>1657</v>
      </c>
      <c r="B811" t="s">
        <v>1658</v>
      </c>
      <c r="C811" t="s">
        <v>17</v>
      </c>
      <c r="D811" t="s">
        <v>53</v>
      </c>
      <c r="E811" s="4">
        <v>45124</v>
      </c>
      <c r="F811" s="4">
        <v>45127</v>
      </c>
      <c r="G811" s="1">
        <v>3</v>
      </c>
      <c r="H811" s="1">
        <v>4.75</v>
      </c>
      <c r="I811" t="s">
        <v>13</v>
      </c>
      <c r="J811" t="s">
        <v>2141</v>
      </c>
      <c r="K811" t="s">
        <v>28</v>
      </c>
      <c r="L811" s="1" t="str">
        <f t="shared" si="72"/>
        <v>2023</v>
      </c>
      <c r="M811" t="str">
        <f t="shared" si="73"/>
        <v>Jul</v>
      </c>
      <c r="N811" t="str">
        <f t="shared" si="74"/>
        <v>Mon</v>
      </c>
      <c r="O811" s="1">
        <f t="shared" si="75"/>
        <v>3</v>
      </c>
      <c r="P811" s="1">
        <f t="shared" si="76"/>
        <v>14.25</v>
      </c>
      <c r="Q811" s="1">
        <f>ROUND(G811*H811*VLOOKUP(D811,'Cost Product'!A$1:C$21,3,FALSE),0)</f>
        <v>8</v>
      </c>
      <c r="R811" s="1">
        <f t="shared" si="77"/>
        <v>6.25</v>
      </c>
    </row>
    <row r="812" spans="1:18" x14ac:dyDescent="0.25">
      <c r="A812" s="1" t="s">
        <v>1659</v>
      </c>
      <c r="B812" t="s">
        <v>1660</v>
      </c>
      <c r="C812" t="s">
        <v>65</v>
      </c>
      <c r="D812" t="s">
        <v>115</v>
      </c>
      <c r="E812" s="4">
        <v>45563</v>
      </c>
      <c r="F812" s="4">
        <v>45564</v>
      </c>
      <c r="G812" s="1">
        <v>1</v>
      </c>
      <c r="H812" s="1">
        <v>3</v>
      </c>
      <c r="I812" t="s">
        <v>13</v>
      </c>
      <c r="J812" t="s">
        <v>2141</v>
      </c>
      <c r="K812" t="s">
        <v>28</v>
      </c>
      <c r="L812" s="1" t="str">
        <f t="shared" si="72"/>
        <v>2024</v>
      </c>
      <c r="M812" t="str">
        <f t="shared" si="73"/>
        <v>Sep</v>
      </c>
      <c r="N812" t="str">
        <f t="shared" si="74"/>
        <v>Sat</v>
      </c>
      <c r="O812" s="1">
        <f t="shared" si="75"/>
        <v>1</v>
      </c>
      <c r="P812" s="1">
        <f t="shared" si="76"/>
        <v>3</v>
      </c>
      <c r="Q812" s="1">
        <f>ROUND(G812*H812*VLOOKUP(D812,'Cost Product'!A$1:C$21,3,FALSE),0)</f>
        <v>1</v>
      </c>
      <c r="R812" s="1">
        <f t="shared" si="77"/>
        <v>2</v>
      </c>
    </row>
    <row r="813" spans="1:18" x14ac:dyDescent="0.25">
      <c r="A813" s="1" t="s">
        <v>1661</v>
      </c>
      <c r="B813" t="s">
        <v>1662</v>
      </c>
      <c r="C813" t="s">
        <v>11</v>
      </c>
      <c r="D813" t="s">
        <v>31</v>
      </c>
      <c r="E813" s="4">
        <v>45553</v>
      </c>
      <c r="F813" s="4">
        <v>45554</v>
      </c>
      <c r="G813" s="1">
        <v>2</v>
      </c>
      <c r="H813" s="1">
        <v>5.5</v>
      </c>
      <c r="I813" t="s">
        <v>13</v>
      </c>
      <c r="J813" t="s">
        <v>2143</v>
      </c>
      <c r="K813" t="s">
        <v>14</v>
      </c>
      <c r="L813" s="1" t="str">
        <f t="shared" si="72"/>
        <v>2024</v>
      </c>
      <c r="M813" t="str">
        <f t="shared" si="73"/>
        <v>Sep</v>
      </c>
      <c r="N813" t="str">
        <f t="shared" si="74"/>
        <v>Wed</v>
      </c>
      <c r="O813" s="1">
        <f t="shared" si="75"/>
        <v>1</v>
      </c>
      <c r="P813" s="1">
        <f t="shared" si="76"/>
        <v>11</v>
      </c>
      <c r="Q813" s="1">
        <f>ROUND(G813*H813*VLOOKUP(D813,'Cost Product'!A$1:C$21,3,FALSE),0)</f>
        <v>6</v>
      </c>
      <c r="R813" s="1">
        <f t="shared" si="77"/>
        <v>5</v>
      </c>
    </row>
    <row r="814" spans="1:18" x14ac:dyDescent="0.25">
      <c r="A814" s="1" t="s">
        <v>1663</v>
      </c>
      <c r="B814" t="s">
        <v>1664</v>
      </c>
      <c r="C814" t="s">
        <v>11</v>
      </c>
      <c r="D814" t="s">
        <v>39</v>
      </c>
      <c r="E814" s="4">
        <v>45343</v>
      </c>
      <c r="F814" s="4">
        <v>45345</v>
      </c>
      <c r="G814" s="1">
        <v>4</v>
      </c>
      <c r="H814" s="1">
        <v>5.75</v>
      </c>
      <c r="I814" t="s">
        <v>13</v>
      </c>
      <c r="J814" t="s">
        <v>2141</v>
      </c>
      <c r="K814" t="s">
        <v>28</v>
      </c>
      <c r="L814" s="1" t="str">
        <f t="shared" si="72"/>
        <v>2024</v>
      </c>
      <c r="M814" t="str">
        <f t="shared" si="73"/>
        <v>Feb</v>
      </c>
      <c r="N814" t="str">
        <f t="shared" si="74"/>
        <v>Wed</v>
      </c>
      <c r="O814" s="1">
        <f t="shared" si="75"/>
        <v>2</v>
      </c>
      <c r="P814" s="1">
        <f t="shared" si="76"/>
        <v>23</v>
      </c>
      <c r="Q814" s="1">
        <f>ROUND(G814*H814*VLOOKUP(D814,'Cost Product'!A$1:C$21,3,FALSE),0)</f>
        <v>12</v>
      </c>
      <c r="R814" s="1">
        <f t="shared" si="77"/>
        <v>11</v>
      </c>
    </row>
    <row r="815" spans="1:18" x14ac:dyDescent="0.25">
      <c r="A815" s="1" t="s">
        <v>1665</v>
      </c>
      <c r="B815" t="s">
        <v>1666</v>
      </c>
      <c r="C815" t="s">
        <v>65</v>
      </c>
      <c r="D815" t="s">
        <v>115</v>
      </c>
      <c r="E815" s="4">
        <v>45561</v>
      </c>
      <c r="F815" s="4">
        <v>45562</v>
      </c>
      <c r="G815" s="1">
        <v>5</v>
      </c>
      <c r="H815" s="1">
        <v>3</v>
      </c>
      <c r="I815" t="s">
        <v>13</v>
      </c>
      <c r="J815" t="s">
        <v>2141</v>
      </c>
      <c r="K815" t="s">
        <v>14</v>
      </c>
      <c r="L815" s="1" t="str">
        <f t="shared" si="72"/>
        <v>2024</v>
      </c>
      <c r="M815" t="str">
        <f t="shared" si="73"/>
        <v>Sep</v>
      </c>
      <c r="N815" t="str">
        <f t="shared" si="74"/>
        <v>Thu</v>
      </c>
      <c r="O815" s="1">
        <f t="shared" si="75"/>
        <v>1</v>
      </c>
      <c r="P815" s="1">
        <f t="shared" si="76"/>
        <v>15</v>
      </c>
      <c r="Q815" s="1">
        <f>ROUND(G815*H815*VLOOKUP(D815,'Cost Product'!A$1:C$21,3,FALSE),0)</f>
        <v>7</v>
      </c>
      <c r="R815" s="1">
        <f t="shared" si="77"/>
        <v>8</v>
      </c>
    </row>
    <row r="816" spans="1:18" x14ac:dyDescent="0.25">
      <c r="A816" s="1" t="s">
        <v>1667</v>
      </c>
      <c r="B816" t="s">
        <v>1668</v>
      </c>
      <c r="C816" t="s">
        <v>65</v>
      </c>
      <c r="D816" t="s">
        <v>66</v>
      </c>
      <c r="E816" s="4">
        <v>45308</v>
      </c>
      <c r="F816" s="4">
        <v>45310</v>
      </c>
      <c r="G816" s="1">
        <v>1</v>
      </c>
      <c r="H816" s="1">
        <v>3.5</v>
      </c>
      <c r="I816" t="s">
        <v>13</v>
      </c>
      <c r="J816" t="s">
        <v>2144</v>
      </c>
      <c r="K816" t="s">
        <v>19</v>
      </c>
      <c r="L816" s="1" t="str">
        <f t="shared" si="72"/>
        <v>2024</v>
      </c>
      <c r="M816" t="str">
        <f t="shared" si="73"/>
        <v>Jan</v>
      </c>
      <c r="N816" t="str">
        <f t="shared" si="74"/>
        <v>Wed</v>
      </c>
      <c r="O816" s="1">
        <f t="shared" si="75"/>
        <v>2</v>
      </c>
      <c r="P816" s="1">
        <f t="shared" si="76"/>
        <v>3.5</v>
      </c>
      <c r="Q816" s="1">
        <f>ROUND(G816*H816*VLOOKUP(D816,'Cost Product'!A$1:C$21,3,FALSE),0)</f>
        <v>2</v>
      </c>
      <c r="R816" s="1">
        <f t="shared" si="77"/>
        <v>1.5</v>
      </c>
    </row>
    <row r="817" spans="1:18" x14ac:dyDescent="0.25">
      <c r="A817" s="1" t="s">
        <v>1669</v>
      </c>
      <c r="B817" t="s">
        <v>1670</v>
      </c>
      <c r="C817" t="s">
        <v>17</v>
      </c>
      <c r="D817" t="s">
        <v>53</v>
      </c>
      <c r="E817" s="4">
        <v>45125</v>
      </c>
      <c r="F817" s="4">
        <v>45127</v>
      </c>
      <c r="G817" s="1">
        <v>5</v>
      </c>
      <c r="H817" s="1">
        <v>4.75</v>
      </c>
      <c r="I817" t="s">
        <v>13</v>
      </c>
      <c r="J817" t="s">
        <v>2145</v>
      </c>
      <c r="K817" t="s">
        <v>28</v>
      </c>
      <c r="L817" s="1" t="str">
        <f t="shared" si="72"/>
        <v>2023</v>
      </c>
      <c r="M817" t="str">
        <f t="shared" si="73"/>
        <v>Jul</v>
      </c>
      <c r="N817" t="str">
        <f t="shared" si="74"/>
        <v>Tue</v>
      </c>
      <c r="O817" s="1">
        <f t="shared" si="75"/>
        <v>2</v>
      </c>
      <c r="P817" s="1">
        <f t="shared" si="76"/>
        <v>23.75</v>
      </c>
      <c r="Q817" s="1">
        <f>ROUND(G817*H817*VLOOKUP(D817,'Cost Product'!A$1:C$21,3,FALSE),0)</f>
        <v>13</v>
      </c>
      <c r="R817" s="1">
        <f t="shared" si="77"/>
        <v>10.75</v>
      </c>
    </row>
    <row r="818" spans="1:18" x14ac:dyDescent="0.25">
      <c r="A818" s="1" t="s">
        <v>1671</v>
      </c>
      <c r="B818" t="s">
        <v>1672</v>
      </c>
      <c r="C818" t="s">
        <v>65</v>
      </c>
      <c r="D818" t="s">
        <v>115</v>
      </c>
      <c r="E818" s="4">
        <v>45189</v>
      </c>
      <c r="F818" s="4">
        <v>45195</v>
      </c>
      <c r="G818" s="1">
        <v>3</v>
      </c>
      <c r="H818" s="1">
        <v>3</v>
      </c>
      <c r="I818" t="s">
        <v>13</v>
      </c>
      <c r="J818" t="s">
        <v>2141</v>
      </c>
      <c r="K818" t="s">
        <v>28</v>
      </c>
      <c r="L818" s="1" t="str">
        <f t="shared" si="72"/>
        <v>2023</v>
      </c>
      <c r="M818" t="str">
        <f t="shared" si="73"/>
        <v>Sep</v>
      </c>
      <c r="N818" t="str">
        <f t="shared" si="74"/>
        <v>Wed</v>
      </c>
      <c r="O818" s="1">
        <f t="shared" si="75"/>
        <v>6</v>
      </c>
      <c r="P818" s="1">
        <f t="shared" si="76"/>
        <v>9</v>
      </c>
      <c r="Q818" s="1">
        <f>ROUND(G818*H818*VLOOKUP(D818,'Cost Product'!A$1:C$21,3,FALSE),0)</f>
        <v>4</v>
      </c>
      <c r="R818" s="1">
        <f t="shared" si="77"/>
        <v>5</v>
      </c>
    </row>
    <row r="819" spans="1:18" x14ac:dyDescent="0.25">
      <c r="A819" s="1" t="s">
        <v>1673</v>
      </c>
      <c r="B819" t="s">
        <v>1674</v>
      </c>
      <c r="C819" t="s">
        <v>17</v>
      </c>
      <c r="D819" t="s">
        <v>50</v>
      </c>
      <c r="E819" s="4">
        <v>45474</v>
      </c>
      <c r="F819" s="4">
        <v>45478</v>
      </c>
      <c r="G819" s="1">
        <v>2</v>
      </c>
      <c r="H819" s="1">
        <v>5.25</v>
      </c>
      <c r="I819" t="s">
        <v>40</v>
      </c>
      <c r="J819" t="s">
        <v>2141</v>
      </c>
      <c r="K819" t="s">
        <v>28</v>
      </c>
      <c r="L819" s="1" t="str">
        <f t="shared" si="72"/>
        <v>2024</v>
      </c>
      <c r="M819" t="str">
        <f t="shared" si="73"/>
        <v>Jul</v>
      </c>
      <c r="N819" t="str">
        <f t="shared" si="74"/>
        <v>Mon</v>
      </c>
      <c r="O819" s="1">
        <f t="shared" si="75"/>
        <v>4</v>
      </c>
      <c r="P819" s="1">
        <f t="shared" si="76"/>
        <v>10.5</v>
      </c>
      <c r="Q819" s="1">
        <f>ROUND(G819*H819*VLOOKUP(D819,'Cost Product'!A$1:C$21,3,FALSE),0)</f>
        <v>6</v>
      </c>
      <c r="R819" s="1">
        <f t="shared" si="77"/>
        <v>4.5</v>
      </c>
    </row>
    <row r="820" spans="1:18" x14ac:dyDescent="0.25">
      <c r="A820" s="1" t="s">
        <v>1675</v>
      </c>
      <c r="B820" t="s">
        <v>1676</v>
      </c>
      <c r="C820" t="s">
        <v>22</v>
      </c>
      <c r="D820" t="s">
        <v>59</v>
      </c>
      <c r="E820" s="4">
        <v>45429</v>
      </c>
      <c r="F820" s="4">
        <v>45433</v>
      </c>
      <c r="G820" s="1">
        <v>1</v>
      </c>
      <c r="H820" s="1">
        <v>8.5</v>
      </c>
      <c r="I820" t="s">
        <v>13</v>
      </c>
      <c r="J820" t="s">
        <v>2143</v>
      </c>
      <c r="K820" t="s">
        <v>19</v>
      </c>
      <c r="L820" s="1" t="str">
        <f t="shared" si="72"/>
        <v>2024</v>
      </c>
      <c r="M820" t="str">
        <f t="shared" si="73"/>
        <v>May</v>
      </c>
      <c r="N820" t="str">
        <f t="shared" si="74"/>
        <v>Fri</v>
      </c>
      <c r="O820" s="1">
        <f t="shared" si="75"/>
        <v>4</v>
      </c>
      <c r="P820" s="1">
        <f t="shared" si="76"/>
        <v>8.5</v>
      </c>
      <c r="Q820" s="1">
        <f>ROUND(G820*H820*VLOOKUP(D820,'Cost Product'!A$1:C$21,3,FALSE),0)</f>
        <v>5</v>
      </c>
      <c r="R820" s="1">
        <f t="shared" si="77"/>
        <v>3.5</v>
      </c>
    </row>
    <row r="821" spans="1:18" x14ac:dyDescent="0.25">
      <c r="A821" s="1" t="s">
        <v>1677</v>
      </c>
      <c r="B821" t="s">
        <v>1678</v>
      </c>
      <c r="C821" t="s">
        <v>22</v>
      </c>
      <c r="D821" t="s">
        <v>59</v>
      </c>
      <c r="E821" s="4">
        <v>45135</v>
      </c>
      <c r="F821" s="4">
        <v>45137</v>
      </c>
      <c r="G821" s="1">
        <v>1</v>
      </c>
      <c r="H821" s="1">
        <v>8.5</v>
      </c>
      <c r="I821" t="s">
        <v>40</v>
      </c>
      <c r="J821" t="s">
        <v>2145</v>
      </c>
      <c r="K821" t="s">
        <v>19</v>
      </c>
      <c r="L821" s="1" t="str">
        <f t="shared" si="72"/>
        <v>2023</v>
      </c>
      <c r="M821" t="str">
        <f t="shared" si="73"/>
        <v>Jul</v>
      </c>
      <c r="N821" t="str">
        <f t="shared" si="74"/>
        <v>Fri</v>
      </c>
      <c r="O821" s="1">
        <f t="shared" si="75"/>
        <v>2</v>
      </c>
      <c r="P821" s="1">
        <f t="shared" si="76"/>
        <v>8.5</v>
      </c>
      <c r="Q821" s="1">
        <f>ROUND(G821*H821*VLOOKUP(D821,'Cost Product'!A$1:C$21,3,FALSE),0)</f>
        <v>5</v>
      </c>
      <c r="R821" s="1">
        <f t="shared" si="77"/>
        <v>3.5</v>
      </c>
    </row>
    <row r="822" spans="1:18" x14ac:dyDescent="0.25">
      <c r="A822" s="1" t="s">
        <v>1679</v>
      </c>
      <c r="B822" t="s">
        <v>1680</v>
      </c>
      <c r="C822" t="s">
        <v>22</v>
      </c>
      <c r="D822" t="s">
        <v>59</v>
      </c>
      <c r="E822" s="4">
        <v>45494</v>
      </c>
      <c r="F822" s="4">
        <v>45500</v>
      </c>
      <c r="G822" s="1">
        <v>5</v>
      </c>
      <c r="H822" s="1">
        <v>8.5</v>
      </c>
      <c r="I822" t="s">
        <v>40</v>
      </c>
      <c r="J822" t="s">
        <v>2145</v>
      </c>
      <c r="K822" t="s">
        <v>14</v>
      </c>
      <c r="L822" s="1" t="str">
        <f t="shared" si="72"/>
        <v>2024</v>
      </c>
      <c r="M822" t="str">
        <f t="shared" si="73"/>
        <v>Jul</v>
      </c>
      <c r="N822" t="str">
        <f t="shared" si="74"/>
        <v>Sun</v>
      </c>
      <c r="O822" s="1">
        <f t="shared" si="75"/>
        <v>6</v>
      </c>
      <c r="P822" s="1">
        <f t="shared" si="76"/>
        <v>42.5</v>
      </c>
      <c r="Q822" s="1">
        <f>ROUND(G822*H822*VLOOKUP(D822,'Cost Product'!A$1:C$21,3,FALSE),0)</f>
        <v>26</v>
      </c>
      <c r="R822" s="1">
        <f t="shared" si="77"/>
        <v>16.5</v>
      </c>
    </row>
    <row r="823" spans="1:18" x14ac:dyDescent="0.25">
      <c r="A823" s="1" t="s">
        <v>1681</v>
      </c>
      <c r="B823" t="s">
        <v>1682</v>
      </c>
      <c r="C823" t="s">
        <v>17</v>
      </c>
      <c r="D823" t="s">
        <v>18</v>
      </c>
      <c r="E823" s="4">
        <v>45140</v>
      </c>
      <c r="F823" s="4">
        <v>45146</v>
      </c>
      <c r="G823" s="1">
        <v>2</v>
      </c>
      <c r="H823" s="1">
        <v>5.5</v>
      </c>
      <c r="I823" t="s">
        <v>13</v>
      </c>
      <c r="J823" t="s">
        <v>2141</v>
      </c>
      <c r="K823" t="s">
        <v>28</v>
      </c>
      <c r="L823" s="1" t="str">
        <f t="shared" si="72"/>
        <v>2023</v>
      </c>
      <c r="M823" t="str">
        <f t="shared" si="73"/>
        <v>Aug</v>
      </c>
      <c r="N823" t="str">
        <f t="shared" si="74"/>
        <v>Wed</v>
      </c>
      <c r="O823" s="1">
        <f t="shared" si="75"/>
        <v>6</v>
      </c>
      <c r="P823" s="1">
        <f t="shared" si="76"/>
        <v>11</v>
      </c>
      <c r="Q823" s="1">
        <f>ROUND(G823*H823*VLOOKUP(D823,'Cost Product'!A$1:C$21,3,FALSE),0)</f>
        <v>7</v>
      </c>
      <c r="R823" s="1">
        <f t="shared" si="77"/>
        <v>4</v>
      </c>
    </row>
    <row r="824" spans="1:18" x14ac:dyDescent="0.25">
      <c r="A824" s="1" t="s">
        <v>1683</v>
      </c>
      <c r="B824" t="s">
        <v>1684</v>
      </c>
      <c r="C824" t="s">
        <v>11</v>
      </c>
      <c r="D824" t="s">
        <v>31</v>
      </c>
      <c r="E824" s="4">
        <v>45363</v>
      </c>
      <c r="F824" s="4">
        <v>45369</v>
      </c>
      <c r="G824" s="1">
        <v>4</v>
      </c>
      <c r="H824" s="1">
        <v>5.5</v>
      </c>
      <c r="I824" t="s">
        <v>13</v>
      </c>
      <c r="J824" t="s">
        <v>2143</v>
      </c>
      <c r="K824" t="s">
        <v>19</v>
      </c>
      <c r="L824" s="1" t="str">
        <f t="shared" si="72"/>
        <v>2024</v>
      </c>
      <c r="M824" t="str">
        <f t="shared" si="73"/>
        <v>Mar</v>
      </c>
      <c r="N824" t="str">
        <f t="shared" si="74"/>
        <v>Tue</v>
      </c>
      <c r="O824" s="1">
        <f t="shared" si="75"/>
        <v>6</v>
      </c>
      <c r="P824" s="1">
        <f t="shared" si="76"/>
        <v>22</v>
      </c>
      <c r="Q824" s="1">
        <f>ROUND(G824*H824*VLOOKUP(D824,'Cost Product'!A$1:C$21,3,FALSE),0)</f>
        <v>11</v>
      </c>
      <c r="R824" s="1">
        <f t="shared" si="77"/>
        <v>11</v>
      </c>
    </row>
    <row r="825" spans="1:18" x14ac:dyDescent="0.25">
      <c r="A825" s="1" t="s">
        <v>1685</v>
      </c>
      <c r="B825" t="s">
        <v>1686</v>
      </c>
      <c r="C825" t="s">
        <v>17</v>
      </c>
      <c r="D825" t="s">
        <v>18</v>
      </c>
      <c r="E825" s="4">
        <v>45476</v>
      </c>
      <c r="F825" s="4">
        <v>45479</v>
      </c>
      <c r="G825" s="1">
        <v>2</v>
      </c>
      <c r="H825" s="1">
        <v>5.5</v>
      </c>
      <c r="I825" t="s">
        <v>13</v>
      </c>
      <c r="J825" t="s">
        <v>2145</v>
      </c>
      <c r="K825" t="s">
        <v>19</v>
      </c>
      <c r="L825" s="1" t="str">
        <f t="shared" si="72"/>
        <v>2024</v>
      </c>
      <c r="M825" t="str">
        <f t="shared" si="73"/>
        <v>Jul</v>
      </c>
      <c r="N825" t="str">
        <f t="shared" si="74"/>
        <v>Wed</v>
      </c>
      <c r="O825" s="1">
        <f t="shared" si="75"/>
        <v>3</v>
      </c>
      <c r="P825" s="1">
        <f t="shared" si="76"/>
        <v>11</v>
      </c>
      <c r="Q825" s="1">
        <f>ROUND(G825*H825*VLOOKUP(D825,'Cost Product'!A$1:C$21,3,FALSE),0)</f>
        <v>7</v>
      </c>
      <c r="R825" s="1">
        <f t="shared" si="77"/>
        <v>4</v>
      </c>
    </row>
    <row r="826" spans="1:18" x14ac:dyDescent="0.25">
      <c r="A826" s="1" t="s">
        <v>1687</v>
      </c>
      <c r="B826" t="s">
        <v>1688</v>
      </c>
      <c r="C826" t="s">
        <v>22</v>
      </c>
      <c r="D826" t="s">
        <v>62</v>
      </c>
      <c r="E826" s="4">
        <v>45575</v>
      </c>
      <c r="F826" s="4">
        <v>45584</v>
      </c>
      <c r="G826" s="1">
        <v>5</v>
      </c>
      <c r="H826" s="1">
        <v>8</v>
      </c>
      <c r="I826" t="s">
        <v>13</v>
      </c>
      <c r="J826" t="s">
        <v>2141</v>
      </c>
      <c r="K826" t="s">
        <v>28</v>
      </c>
      <c r="L826" s="1" t="str">
        <f t="shared" si="72"/>
        <v>2024</v>
      </c>
      <c r="M826" t="str">
        <f t="shared" si="73"/>
        <v>Oct</v>
      </c>
      <c r="N826" t="str">
        <f t="shared" si="74"/>
        <v>Thu</v>
      </c>
      <c r="O826" s="1">
        <f t="shared" si="75"/>
        <v>9</v>
      </c>
      <c r="P826" s="1">
        <f t="shared" si="76"/>
        <v>40</v>
      </c>
      <c r="Q826" s="1">
        <f>ROUND(G826*H826*VLOOKUP(D826,'Cost Product'!A$1:C$21,3,FALSE),0)</f>
        <v>23</v>
      </c>
      <c r="R826" s="1">
        <f t="shared" si="77"/>
        <v>17</v>
      </c>
    </row>
    <row r="827" spans="1:18" x14ac:dyDescent="0.25">
      <c r="A827" s="1" t="s">
        <v>1689</v>
      </c>
      <c r="B827" t="s">
        <v>1690</v>
      </c>
      <c r="C827" t="s">
        <v>26</v>
      </c>
      <c r="D827" t="s">
        <v>27</v>
      </c>
      <c r="E827" s="4">
        <v>45303</v>
      </c>
      <c r="F827" s="4">
        <v>45310</v>
      </c>
      <c r="G827" s="1">
        <v>3</v>
      </c>
      <c r="H827" s="1">
        <v>4.75</v>
      </c>
      <c r="I827" t="s">
        <v>13</v>
      </c>
      <c r="J827" t="s">
        <v>2142</v>
      </c>
      <c r="K827" t="s">
        <v>28</v>
      </c>
      <c r="L827" s="1" t="str">
        <f t="shared" si="72"/>
        <v>2024</v>
      </c>
      <c r="M827" t="str">
        <f t="shared" si="73"/>
        <v>Jan</v>
      </c>
      <c r="N827" t="str">
        <f t="shared" si="74"/>
        <v>Fri</v>
      </c>
      <c r="O827" s="1">
        <f t="shared" si="75"/>
        <v>7</v>
      </c>
      <c r="P827" s="1">
        <f t="shared" si="76"/>
        <v>14.25</v>
      </c>
      <c r="Q827" s="1">
        <f>ROUND(G827*H827*VLOOKUP(D827,'Cost Product'!A$1:C$21,3,FALSE),0)</f>
        <v>8</v>
      </c>
      <c r="R827" s="1">
        <f t="shared" si="77"/>
        <v>6.25</v>
      </c>
    </row>
    <row r="828" spans="1:18" x14ac:dyDescent="0.25">
      <c r="A828" s="1" t="s">
        <v>1691</v>
      </c>
      <c r="B828" t="s">
        <v>1692</v>
      </c>
      <c r="C828" t="s">
        <v>11</v>
      </c>
      <c r="D828" t="s">
        <v>36</v>
      </c>
      <c r="E828" s="4">
        <v>45137</v>
      </c>
      <c r="F828" s="4">
        <v>45146</v>
      </c>
      <c r="G828" s="1">
        <v>4</v>
      </c>
      <c r="H828" s="1">
        <v>6.25</v>
      </c>
      <c r="I828" t="s">
        <v>13</v>
      </c>
      <c r="J828" t="s">
        <v>2141</v>
      </c>
      <c r="K828" t="s">
        <v>14</v>
      </c>
      <c r="L828" s="1" t="str">
        <f t="shared" si="72"/>
        <v>2023</v>
      </c>
      <c r="M828" t="str">
        <f t="shared" si="73"/>
        <v>Jul</v>
      </c>
      <c r="N828" t="str">
        <f t="shared" si="74"/>
        <v>Sun</v>
      </c>
      <c r="O828" s="1">
        <f t="shared" si="75"/>
        <v>9</v>
      </c>
      <c r="P828" s="1">
        <f t="shared" si="76"/>
        <v>25</v>
      </c>
      <c r="Q828" s="1">
        <f>ROUND(G828*H828*VLOOKUP(D828,'Cost Product'!A$1:C$21,3,FALSE),0)</f>
        <v>14</v>
      </c>
      <c r="R828" s="1">
        <f t="shared" si="77"/>
        <v>11</v>
      </c>
    </row>
    <row r="829" spans="1:18" x14ac:dyDescent="0.25">
      <c r="A829" s="1" t="s">
        <v>1693</v>
      </c>
      <c r="B829" t="s">
        <v>1694</v>
      </c>
      <c r="C829" t="s">
        <v>11</v>
      </c>
      <c r="D829" t="s">
        <v>12</v>
      </c>
      <c r="E829" s="4">
        <v>45354</v>
      </c>
      <c r="F829" s="4">
        <v>45363</v>
      </c>
      <c r="G829" s="1">
        <v>5</v>
      </c>
      <c r="H829" s="1">
        <v>6.5</v>
      </c>
      <c r="I829" t="s">
        <v>13</v>
      </c>
      <c r="J829" t="s">
        <v>2141</v>
      </c>
      <c r="K829" t="s">
        <v>28</v>
      </c>
      <c r="L829" s="1" t="str">
        <f t="shared" si="72"/>
        <v>2024</v>
      </c>
      <c r="M829" t="str">
        <f t="shared" si="73"/>
        <v>Mar</v>
      </c>
      <c r="N829" t="str">
        <f t="shared" si="74"/>
        <v>Sun</v>
      </c>
      <c r="O829" s="1">
        <f t="shared" si="75"/>
        <v>9</v>
      </c>
      <c r="P829" s="1">
        <f t="shared" si="76"/>
        <v>32.5</v>
      </c>
      <c r="Q829" s="1">
        <f>ROUND(G829*H829*VLOOKUP(D829,'Cost Product'!A$1:C$21,3,FALSE),0)</f>
        <v>19</v>
      </c>
      <c r="R829" s="1">
        <f t="shared" si="77"/>
        <v>13.5</v>
      </c>
    </row>
    <row r="830" spans="1:18" x14ac:dyDescent="0.25">
      <c r="A830" s="1" t="s">
        <v>1695</v>
      </c>
      <c r="B830" t="s">
        <v>1696</v>
      </c>
      <c r="C830" t="s">
        <v>22</v>
      </c>
      <c r="D830" t="s">
        <v>23</v>
      </c>
      <c r="E830" s="4">
        <v>45319</v>
      </c>
      <c r="F830" s="4">
        <v>45325</v>
      </c>
      <c r="G830" s="1">
        <v>1</v>
      </c>
      <c r="H830" s="1">
        <v>10</v>
      </c>
      <c r="I830" t="s">
        <v>13</v>
      </c>
      <c r="J830" t="s">
        <v>2141</v>
      </c>
      <c r="K830" t="s">
        <v>28</v>
      </c>
      <c r="L830" s="1" t="str">
        <f t="shared" si="72"/>
        <v>2024</v>
      </c>
      <c r="M830" t="str">
        <f t="shared" si="73"/>
        <v>Jan</v>
      </c>
      <c r="N830" t="str">
        <f t="shared" si="74"/>
        <v>Sun</v>
      </c>
      <c r="O830" s="1">
        <f t="shared" si="75"/>
        <v>6</v>
      </c>
      <c r="P830" s="1">
        <f t="shared" si="76"/>
        <v>10</v>
      </c>
      <c r="Q830" s="1">
        <f>ROUND(G830*H830*VLOOKUP(D830,'Cost Product'!A$1:C$21,3,FALSE),0)</f>
        <v>7</v>
      </c>
      <c r="R830" s="1">
        <f t="shared" si="77"/>
        <v>3</v>
      </c>
    </row>
    <row r="831" spans="1:18" x14ac:dyDescent="0.25">
      <c r="A831" s="1" t="s">
        <v>1697</v>
      </c>
      <c r="B831" t="s">
        <v>1698</v>
      </c>
      <c r="C831" t="s">
        <v>17</v>
      </c>
      <c r="D831" t="s">
        <v>50</v>
      </c>
      <c r="E831" s="4">
        <v>45355</v>
      </c>
      <c r="F831" s="4">
        <v>45357</v>
      </c>
      <c r="G831" s="1">
        <v>5</v>
      </c>
      <c r="H831" s="1">
        <v>5.25</v>
      </c>
      <c r="I831" t="s">
        <v>13</v>
      </c>
      <c r="J831" t="s">
        <v>2141</v>
      </c>
      <c r="K831" t="s">
        <v>28</v>
      </c>
      <c r="L831" s="1" t="str">
        <f t="shared" si="72"/>
        <v>2024</v>
      </c>
      <c r="M831" t="str">
        <f t="shared" si="73"/>
        <v>Mar</v>
      </c>
      <c r="N831" t="str">
        <f t="shared" si="74"/>
        <v>Mon</v>
      </c>
      <c r="O831" s="1">
        <f t="shared" si="75"/>
        <v>2</v>
      </c>
      <c r="P831" s="1">
        <f t="shared" si="76"/>
        <v>26.25</v>
      </c>
      <c r="Q831" s="1">
        <f>ROUND(G831*H831*VLOOKUP(D831,'Cost Product'!A$1:C$21,3,FALSE),0)</f>
        <v>15</v>
      </c>
      <c r="R831" s="1">
        <f t="shared" si="77"/>
        <v>11.25</v>
      </c>
    </row>
    <row r="832" spans="1:18" x14ac:dyDescent="0.25">
      <c r="A832" s="1" t="s">
        <v>1699</v>
      </c>
      <c r="B832" t="s">
        <v>1700</v>
      </c>
      <c r="C832" t="s">
        <v>22</v>
      </c>
      <c r="D832" t="s">
        <v>59</v>
      </c>
      <c r="E832" s="4">
        <v>45237</v>
      </c>
      <c r="F832" s="4">
        <v>45239</v>
      </c>
      <c r="G832" s="1">
        <v>2</v>
      </c>
      <c r="H832" s="1">
        <v>8.5</v>
      </c>
      <c r="I832" t="s">
        <v>13</v>
      </c>
      <c r="J832" t="s">
        <v>2141</v>
      </c>
      <c r="K832" t="s">
        <v>28</v>
      </c>
      <c r="L832" s="1" t="str">
        <f t="shared" si="72"/>
        <v>2023</v>
      </c>
      <c r="M832" t="str">
        <f t="shared" si="73"/>
        <v>Nov</v>
      </c>
      <c r="N832" t="str">
        <f t="shared" si="74"/>
        <v>Tue</v>
      </c>
      <c r="O832" s="1">
        <f t="shared" si="75"/>
        <v>2</v>
      </c>
      <c r="P832" s="1">
        <f t="shared" si="76"/>
        <v>17</v>
      </c>
      <c r="Q832" s="1">
        <f>ROUND(G832*H832*VLOOKUP(D832,'Cost Product'!A$1:C$21,3,FALSE),0)</f>
        <v>10</v>
      </c>
      <c r="R832" s="1">
        <f t="shared" si="77"/>
        <v>7</v>
      </c>
    </row>
    <row r="833" spans="1:18" x14ac:dyDescent="0.25">
      <c r="A833" s="1" t="s">
        <v>1701</v>
      </c>
      <c r="B833" t="s">
        <v>1702</v>
      </c>
      <c r="C833" t="s">
        <v>17</v>
      </c>
      <c r="D833" t="s">
        <v>18</v>
      </c>
      <c r="E833" s="4">
        <v>45514</v>
      </c>
      <c r="F833" s="4">
        <v>45515</v>
      </c>
      <c r="G833" s="1">
        <v>3</v>
      </c>
      <c r="H833" s="1">
        <v>5.5</v>
      </c>
      <c r="I833" t="s">
        <v>13</v>
      </c>
      <c r="J833" t="s">
        <v>2144</v>
      </c>
      <c r="K833" t="s">
        <v>28</v>
      </c>
      <c r="L833" s="1" t="str">
        <f t="shared" si="72"/>
        <v>2024</v>
      </c>
      <c r="M833" t="str">
        <f t="shared" si="73"/>
        <v>Aug</v>
      </c>
      <c r="N833" t="str">
        <f t="shared" si="74"/>
        <v>Sat</v>
      </c>
      <c r="O833" s="1">
        <f t="shared" si="75"/>
        <v>1</v>
      </c>
      <c r="P833" s="1">
        <f t="shared" si="76"/>
        <v>16.5</v>
      </c>
      <c r="Q833" s="1">
        <f>ROUND(G833*H833*VLOOKUP(D833,'Cost Product'!A$1:C$21,3,FALSE),0)</f>
        <v>10</v>
      </c>
      <c r="R833" s="1">
        <f t="shared" si="77"/>
        <v>6.5</v>
      </c>
    </row>
    <row r="834" spans="1:18" x14ac:dyDescent="0.25">
      <c r="A834" s="1" t="s">
        <v>1703</v>
      </c>
      <c r="B834" t="s">
        <v>1704</v>
      </c>
      <c r="C834" t="s">
        <v>17</v>
      </c>
      <c r="D834" t="s">
        <v>79</v>
      </c>
      <c r="E834" s="4">
        <v>45418</v>
      </c>
      <c r="F834" s="4">
        <v>45420</v>
      </c>
      <c r="G834" s="1">
        <v>1</v>
      </c>
      <c r="H834" s="1">
        <v>5</v>
      </c>
      <c r="I834" t="s">
        <v>13</v>
      </c>
      <c r="J834" t="s">
        <v>2141</v>
      </c>
      <c r="K834" t="s">
        <v>28</v>
      </c>
      <c r="L834" s="1" t="str">
        <f t="shared" si="72"/>
        <v>2024</v>
      </c>
      <c r="M834" t="str">
        <f t="shared" si="73"/>
        <v>May</v>
      </c>
      <c r="N834" t="str">
        <f t="shared" si="74"/>
        <v>Mon</v>
      </c>
      <c r="O834" s="1">
        <f t="shared" si="75"/>
        <v>2</v>
      </c>
      <c r="P834" s="1">
        <f t="shared" si="76"/>
        <v>5</v>
      </c>
      <c r="Q834" s="1">
        <f>ROUND(G834*H834*VLOOKUP(D834,'Cost Product'!A$1:C$21,3,FALSE),0)</f>
        <v>3</v>
      </c>
      <c r="R834" s="1">
        <f t="shared" si="77"/>
        <v>2</v>
      </c>
    </row>
    <row r="835" spans="1:18" x14ac:dyDescent="0.25">
      <c r="A835" s="1" t="s">
        <v>1705</v>
      </c>
      <c r="B835" t="s">
        <v>1706</v>
      </c>
      <c r="C835" t="s">
        <v>17</v>
      </c>
      <c r="D835" t="s">
        <v>79</v>
      </c>
      <c r="E835" s="4">
        <v>45518</v>
      </c>
      <c r="F835" s="4">
        <v>45521</v>
      </c>
      <c r="G835" s="1">
        <v>4</v>
      </c>
      <c r="H835" s="1">
        <v>5</v>
      </c>
      <c r="I835" t="s">
        <v>13</v>
      </c>
      <c r="J835" t="s">
        <v>2145</v>
      </c>
      <c r="K835" t="s">
        <v>14</v>
      </c>
      <c r="L835" s="1" t="str">
        <f t="shared" ref="L835:L898" si="78">TEXT(E835, "YYYY")</f>
        <v>2024</v>
      </c>
      <c r="M835" t="str">
        <f t="shared" ref="M835:M898" si="79">TEXT(E835, "MMM")</f>
        <v>Aug</v>
      </c>
      <c r="N835" t="str">
        <f t="shared" ref="N835:N898" si="80">TEXT(E835, "DDD")</f>
        <v>Wed</v>
      </c>
      <c r="O835" s="1">
        <f t="shared" ref="O835:O898" si="81">DATEDIF(E835, F835, "D")</f>
        <v>3</v>
      </c>
      <c r="P835" s="1">
        <f t="shared" ref="P835:P898" si="82">G835*H835</f>
        <v>20</v>
      </c>
      <c r="Q835" s="1">
        <f>ROUND(G835*H835*VLOOKUP(D835,'Cost Product'!A$1:C$21,3,FALSE),0)</f>
        <v>11</v>
      </c>
      <c r="R835" s="1">
        <f t="shared" ref="R835:R898" si="83">P835-Q835</f>
        <v>9</v>
      </c>
    </row>
    <row r="836" spans="1:18" x14ac:dyDescent="0.25">
      <c r="A836" s="1" t="s">
        <v>1707</v>
      </c>
      <c r="B836" t="s">
        <v>1708</v>
      </c>
      <c r="C836" t="s">
        <v>26</v>
      </c>
      <c r="D836" t="s">
        <v>27</v>
      </c>
      <c r="E836" s="4">
        <v>45118</v>
      </c>
      <c r="F836" s="4">
        <v>45123</v>
      </c>
      <c r="G836" s="1">
        <v>1</v>
      </c>
      <c r="H836" s="1">
        <v>4.75</v>
      </c>
      <c r="I836" t="s">
        <v>13</v>
      </c>
      <c r="J836" t="s">
        <v>2141</v>
      </c>
      <c r="K836" t="s">
        <v>14</v>
      </c>
      <c r="L836" s="1" t="str">
        <f t="shared" si="78"/>
        <v>2023</v>
      </c>
      <c r="M836" t="str">
        <f t="shared" si="79"/>
        <v>Jul</v>
      </c>
      <c r="N836" t="str">
        <f t="shared" si="80"/>
        <v>Tue</v>
      </c>
      <c r="O836" s="1">
        <f t="shared" si="81"/>
        <v>5</v>
      </c>
      <c r="P836" s="1">
        <f t="shared" si="82"/>
        <v>4.75</v>
      </c>
      <c r="Q836" s="1">
        <f>ROUND(G836*H836*VLOOKUP(D836,'Cost Product'!A$1:C$21,3,FALSE),0)</f>
        <v>3</v>
      </c>
      <c r="R836" s="1">
        <f t="shared" si="83"/>
        <v>1.75</v>
      </c>
    </row>
    <row r="837" spans="1:18" x14ac:dyDescent="0.25">
      <c r="A837" s="1" t="s">
        <v>1709</v>
      </c>
      <c r="B837" t="s">
        <v>1710</v>
      </c>
      <c r="C837" t="s">
        <v>65</v>
      </c>
      <c r="D837" t="s">
        <v>120</v>
      </c>
      <c r="E837" s="4">
        <v>45150</v>
      </c>
      <c r="F837" s="4">
        <v>45152</v>
      </c>
      <c r="G837" s="1">
        <v>1</v>
      </c>
      <c r="H837" s="1">
        <v>3.75</v>
      </c>
      <c r="I837" t="s">
        <v>13</v>
      </c>
      <c r="J837" t="s">
        <v>2141</v>
      </c>
      <c r="K837" t="s">
        <v>28</v>
      </c>
      <c r="L837" s="1" t="str">
        <f t="shared" si="78"/>
        <v>2023</v>
      </c>
      <c r="M837" t="str">
        <f t="shared" si="79"/>
        <v>Aug</v>
      </c>
      <c r="N837" t="str">
        <f t="shared" si="80"/>
        <v>Sat</v>
      </c>
      <c r="O837" s="1">
        <f t="shared" si="81"/>
        <v>2</v>
      </c>
      <c r="P837" s="1">
        <f t="shared" si="82"/>
        <v>3.75</v>
      </c>
      <c r="Q837" s="1">
        <f>ROUND(G837*H837*VLOOKUP(D837,'Cost Product'!A$1:C$21,3,FALSE),0)</f>
        <v>2</v>
      </c>
      <c r="R837" s="1">
        <f t="shared" si="83"/>
        <v>1.75</v>
      </c>
    </row>
    <row r="838" spans="1:18" x14ac:dyDescent="0.25">
      <c r="A838" s="1" t="s">
        <v>1711</v>
      </c>
      <c r="B838" t="s">
        <v>1712</v>
      </c>
      <c r="C838" t="s">
        <v>22</v>
      </c>
      <c r="D838" t="s">
        <v>23</v>
      </c>
      <c r="E838" s="4">
        <v>45144</v>
      </c>
      <c r="F838" s="4">
        <v>45152</v>
      </c>
      <c r="G838" s="1">
        <v>1</v>
      </c>
      <c r="H838" s="1">
        <v>10</v>
      </c>
      <c r="I838" t="s">
        <v>13</v>
      </c>
      <c r="J838" t="s">
        <v>2141</v>
      </c>
      <c r="K838" t="s">
        <v>14</v>
      </c>
      <c r="L838" s="1" t="str">
        <f t="shared" si="78"/>
        <v>2023</v>
      </c>
      <c r="M838" t="str">
        <f t="shared" si="79"/>
        <v>Aug</v>
      </c>
      <c r="N838" t="str">
        <f t="shared" si="80"/>
        <v>Sun</v>
      </c>
      <c r="O838" s="1">
        <f t="shared" si="81"/>
        <v>8</v>
      </c>
      <c r="P838" s="1">
        <f t="shared" si="82"/>
        <v>10</v>
      </c>
      <c r="Q838" s="1">
        <f>ROUND(G838*H838*VLOOKUP(D838,'Cost Product'!A$1:C$21,3,FALSE),0)</f>
        <v>7</v>
      </c>
      <c r="R838" s="1">
        <f t="shared" si="83"/>
        <v>3</v>
      </c>
    </row>
    <row r="839" spans="1:18" x14ac:dyDescent="0.25">
      <c r="A839" s="1" t="s">
        <v>1713</v>
      </c>
      <c r="B839" t="s">
        <v>1714</v>
      </c>
      <c r="C839" t="s">
        <v>26</v>
      </c>
      <c r="D839" t="s">
        <v>82</v>
      </c>
      <c r="E839" s="4">
        <v>45311</v>
      </c>
      <c r="F839" s="4">
        <v>45314</v>
      </c>
      <c r="G839" s="1">
        <v>1</v>
      </c>
      <c r="H839" s="1">
        <v>4.25</v>
      </c>
      <c r="I839" t="s">
        <v>13</v>
      </c>
      <c r="J839" t="s">
        <v>2142</v>
      </c>
      <c r="K839" t="s">
        <v>28</v>
      </c>
      <c r="L839" s="1" t="str">
        <f t="shared" si="78"/>
        <v>2024</v>
      </c>
      <c r="M839" t="str">
        <f t="shared" si="79"/>
        <v>Jan</v>
      </c>
      <c r="N839" t="str">
        <f t="shared" si="80"/>
        <v>Sat</v>
      </c>
      <c r="O839" s="1">
        <f t="shared" si="81"/>
        <v>3</v>
      </c>
      <c r="P839" s="1">
        <f t="shared" si="82"/>
        <v>4.25</v>
      </c>
      <c r="Q839" s="1">
        <f>ROUND(G839*H839*VLOOKUP(D839,'Cost Product'!A$1:C$21,3,FALSE),0)</f>
        <v>2</v>
      </c>
      <c r="R839" s="1">
        <f t="shared" si="83"/>
        <v>2.25</v>
      </c>
    </row>
    <row r="840" spans="1:18" x14ac:dyDescent="0.25">
      <c r="A840" s="1" t="s">
        <v>1715</v>
      </c>
      <c r="B840" t="s">
        <v>1716</v>
      </c>
      <c r="C840" t="s">
        <v>65</v>
      </c>
      <c r="D840" t="s">
        <v>120</v>
      </c>
      <c r="E840" s="4">
        <v>45448</v>
      </c>
      <c r="F840" s="4">
        <v>45450</v>
      </c>
      <c r="G840" s="1">
        <v>1</v>
      </c>
      <c r="H840" s="1">
        <v>3.75</v>
      </c>
      <c r="I840" t="s">
        <v>40</v>
      </c>
      <c r="J840" t="s">
        <v>2142</v>
      </c>
      <c r="K840" t="s">
        <v>14</v>
      </c>
      <c r="L840" s="1" t="str">
        <f t="shared" si="78"/>
        <v>2024</v>
      </c>
      <c r="M840" t="str">
        <f t="shared" si="79"/>
        <v>Jun</v>
      </c>
      <c r="N840" t="str">
        <f t="shared" si="80"/>
        <v>Wed</v>
      </c>
      <c r="O840" s="1">
        <f t="shared" si="81"/>
        <v>2</v>
      </c>
      <c r="P840" s="1">
        <f t="shared" si="82"/>
        <v>3.75</v>
      </c>
      <c r="Q840" s="1">
        <f>ROUND(G840*H840*VLOOKUP(D840,'Cost Product'!A$1:C$21,3,FALSE),0)</f>
        <v>2</v>
      </c>
      <c r="R840" s="1">
        <f t="shared" si="83"/>
        <v>1.75</v>
      </c>
    </row>
    <row r="841" spans="1:18" x14ac:dyDescent="0.25">
      <c r="A841" s="1" t="s">
        <v>1717</v>
      </c>
      <c r="B841" t="s">
        <v>1718</v>
      </c>
      <c r="C841" t="s">
        <v>26</v>
      </c>
      <c r="D841" t="s">
        <v>104</v>
      </c>
      <c r="E841" s="4">
        <v>45215</v>
      </c>
      <c r="F841" s="4">
        <v>45217</v>
      </c>
      <c r="G841" s="1">
        <v>5</v>
      </c>
      <c r="H841" s="1">
        <v>4.5</v>
      </c>
      <c r="I841" t="s">
        <v>13</v>
      </c>
      <c r="J841" t="s">
        <v>2141</v>
      </c>
      <c r="K841" t="s">
        <v>28</v>
      </c>
      <c r="L841" s="1" t="str">
        <f t="shared" si="78"/>
        <v>2023</v>
      </c>
      <c r="M841" t="str">
        <f t="shared" si="79"/>
        <v>Oct</v>
      </c>
      <c r="N841" t="str">
        <f t="shared" si="80"/>
        <v>Mon</v>
      </c>
      <c r="O841" s="1">
        <f t="shared" si="81"/>
        <v>2</v>
      </c>
      <c r="P841" s="1">
        <f t="shared" si="82"/>
        <v>22.5</v>
      </c>
      <c r="Q841" s="1">
        <f>ROUND(G841*H841*VLOOKUP(D841,'Cost Product'!A$1:C$21,3,FALSE),0)</f>
        <v>11</v>
      </c>
      <c r="R841" s="1">
        <f t="shared" si="83"/>
        <v>11.5</v>
      </c>
    </row>
    <row r="842" spans="1:18" x14ac:dyDescent="0.25">
      <c r="A842" s="1" t="s">
        <v>1719</v>
      </c>
      <c r="B842" t="s">
        <v>1720</v>
      </c>
      <c r="C842" t="s">
        <v>65</v>
      </c>
      <c r="D842" t="s">
        <v>66</v>
      </c>
      <c r="E842" s="4">
        <v>45555</v>
      </c>
      <c r="F842" s="4">
        <v>45558</v>
      </c>
      <c r="G842" s="1">
        <v>2</v>
      </c>
      <c r="H842" s="1">
        <v>3.5</v>
      </c>
      <c r="I842" t="s">
        <v>13</v>
      </c>
      <c r="J842" t="s">
        <v>2141</v>
      </c>
      <c r="K842" t="s">
        <v>14</v>
      </c>
      <c r="L842" s="1" t="str">
        <f t="shared" si="78"/>
        <v>2024</v>
      </c>
      <c r="M842" t="str">
        <f t="shared" si="79"/>
        <v>Sep</v>
      </c>
      <c r="N842" t="str">
        <f t="shared" si="80"/>
        <v>Fri</v>
      </c>
      <c r="O842" s="1">
        <f t="shared" si="81"/>
        <v>3</v>
      </c>
      <c r="P842" s="1">
        <f t="shared" si="82"/>
        <v>7</v>
      </c>
      <c r="Q842" s="1">
        <f>ROUND(G842*H842*VLOOKUP(D842,'Cost Product'!A$1:C$21,3,FALSE),0)</f>
        <v>3</v>
      </c>
      <c r="R842" s="1">
        <f t="shared" si="83"/>
        <v>4</v>
      </c>
    </row>
    <row r="843" spans="1:18" x14ac:dyDescent="0.25">
      <c r="A843" s="1" t="s">
        <v>1721</v>
      </c>
      <c r="B843" t="s">
        <v>1722</v>
      </c>
      <c r="C843" t="s">
        <v>26</v>
      </c>
      <c r="D843" t="s">
        <v>45</v>
      </c>
      <c r="E843" s="4">
        <v>45441</v>
      </c>
      <c r="F843" s="4">
        <v>45449</v>
      </c>
      <c r="G843" s="1">
        <v>1</v>
      </c>
      <c r="H843" s="1">
        <v>4.5</v>
      </c>
      <c r="I843" t="s">
        <v>13</v>
      </c>
      <c r="J843" t="s">
        <v>2141</v>
      </c>
      <c r="K843" t="s">
        <v>28</v>
      </c>
      <c r="L843" s="1" t="str">
        <f t="shared" si="78"/>
        <v>2024</v>
      </c>
      <c r="M843" t="str">
        <f t="shared" si="79"/>
        <v>May</v>
      </c>
      <c r="N843" t="str">
        <f t="shared" si="80"/>
        <v>Wed</v>
      </c>
      <c r="O843" s="1">
        <f t="shared" si="81"/>
        <v>8</v>
      </c>
      <c r="P843" s="1">
        <f t="shared" si="82"/>
        <v>4.5</v>
      </c>
      <c r="Q843" s="1">
        <f>ROUND(G843*H843*VLOOKUP(D843,'Cost Product'!A$1:C$21,3,FALSE),0)</f>
        <v>2</v>
      </c>
      <c r="R843" s="1">
        <f t="shared" si="83"/>
        <v>2.5</v>
      </c>
    </row>
    <row r="844" spans="1:18" x14ac:dyDescent="0.25">
      <c r="A844" s="1" t="s">
        <v>1723</v>
      </c>
      <c r="B844" t="s">
        <v>1724</v>
      </c>
      <c r="C844" t="s">
        <v>26</v>
      </c>
      <c r="D844" t="s">
        <v>82</v>
      </c>
      <c r="E844" s="4">
        <v>45558</v>
      </c>
      <c r="F844" s="4">
        <v>45560</v>
      </c>
      <c r="G844" s="1">
        <v>3</v>
      </c>
      <c r="H844" s="1">
        <v>4.25</v>
      </c>
      <c r="I844" t="s">
        <v>13</v>
      </c>
      <c r="J844" t="s">
        <v>2144</v>
      </c>
      <c r="K844" t="s">
        <v>28</v>
      </c>
      <c r="L844" s="1" t="str">
        <f t="shared" si="78"/>
        <v>2024</v>
      </c>
      <c r="M844" t="str">
        <f t="shared" si="79"/>
        <v>Sep</v>
      </c>
      <c r="N844" t="str">
        <f t="shared" si="80"/>
        <v>Mon</v>
      </c>
      <c r="O844" s="1">
        <f t="shared" si="81"/>
        <v>2</v>
      </c>
      <c r="P844" s="1">
        <f t="shared" si="82"/>
        <v>12.75</v>
      </c>
      <c r="Q844" s="1">
        <f>ROUND(G844*H844*VLOOKUP(D844,'Cost Product'!A$1:C$21,3,FALSE),0)</f>
        <v>6</v>
      </c>
      <c r="R844" s="1">
        <f t="shared" si="83"/>
        <v>6.75</v>
      </c>
    </row>
    <row r="845" spans="1:18" x14ac:dyDescent="0.25">
      <c r="A845" s="1" t="s">
        <v>1725</v>
      </c>
      <c r="B845" t="s">
        <v>1726</v>
      </c>
      <c r="C845" t="s">
        <v>22</v>
      </c>
      <c r="D845" t="s">
        <v>59</v>
      </c>
      <c r="E845" s="4">
        <v>45224</v>
      </c>
      <c r="F845" s="4">
        <v>45228</v>
      </c>
      <c r="G845" s="1">
        <v>5</v>
      </c>
      <c r="H845" s="1">
        <v>8.5</v>
      </c>
      <c r="I845" t="s">
        <v>13</v>
      </c>
      <c r="J845" t="s">
        <v>2141</v>
      </c>
      <c r="K845" t="s">
        <v>19</v>
      </c>
      <c r="L845" s="1" t="str">
        <f t="shared" si="78"/>
        <v>2023</v>
      </c>
      <c r="M845" t="str">
        <f t="shared" si="79"/>
        <v>Oct</v>
      </c>
      <c r="N845" t="str">
        <f t="shared" si="80"/>
        <v>Wed</v>
      </c>
      <c r="O845" s="1">
        <f t="shared" si="81"/>
        <v>4</v>
      </c>
      <c r="P845" s="1">
        <f t="shared" si="82"/>
        <v>42.5</v>
      </c>
      <c r="Q845" s="1">
        <f>ROUND(G845*H845*VLOOKUP(D845,'Cost Product'!A$1:C$21,3,FALSE),0)</f>
        <v>26</v>
      </c>
      <c r="R845" s="1">
        <f t="shared" si="83"/>
        <v>16.5</v>
      </c>
    </row>
    <row r="846" spans="1:18" x14ac:dyDescent="0.25">
      <c r="A846" s="1" t="s">
        <v>1727</v>
      </c>
      <c r="B846" t="s">
        <v>1728</v>
      </c>
      <c r="C846" t="s">
        <v>22</v>
      </c>
      <c r="D846" t="s">
        <v>23</v>
      </c>
      <c r="E846" s="4">
        <v>45419</v>
      </c>
      <c r="F846" s="4">
        <v>45420</v>
      </c>
      <c r="G846" s="1">
        <v>1</v>
      </c>
      <c r="H846" s="1">
        <v>10</v>
      </c>
      <c r="I846" t="s">
        <v>13</v>
      </c>
      <c r="J846" t="s">
        <v>2141</v>
      </c>
      <c r="K846" t="s">
        <v>28</v>
      </c>
      <c r="L846" s="1" t="str">
        <f t="shared" si="78"/>
        <v>2024</v>
      </c>
      <c r="M846" t="str">
        <f t="shared" si="79"/>
        <v>May</v>
      </c>
      <c r="N846" t="str">
        <f t="shared" si="80"/>
        <v>Tue</v>
      </c>
      <c r="O846" s="1">
        <f t="shared" si="81"/>
        <v>1</v>
      </c>
      <c r="P846" s="1">
        <f t="shared" si="82"/>
        <v>10</v>
      </c>
      <c r="Q846" s="1">
        <f>ROUND(G846*H846*VLOOKUP(D846,'Cost Product'!A$1:C$21,3,FALSE),0)</f>
        <v>7</v>
      </c>
      <c r="R846" s="1">
        <f t="shared" si="83"/>
        <v>3</v>
      </c>
    </row>
    <row r="847" spans="1:18" x14ac:dyDescent="0.25">
      <c r="A847" s="1" t="s">
        <v>1729</v>
      </c>
      <c r="B847" t="s">
        <v>1730</v>
      </c>
      <c r="C847" t="s">
        <v>11</v>
      </c>
      <c r="D847" t="s">
        <v>39</v>
      </c>
      <c r="E847" s="4">
        <v>45144</v>
      </c>
      <c r="F847" s="4">
        <v>45148</v>
      </c>
      <c r="G847" s="1">
        <v>2</v>
      </c>
      <c r="H847" s="1">
        <v>5.75</v>
      </c>
      <c r="I847" t="s">
        <v>13</v>
      </c>
      <c r="J847" t="s">
        <v>2141</v>
      </c>
      <c r="K847" t="s">
        <v>28</v>
      </c>
      <c r="L847" s="1" t="str">
        <f t="shared" si="78"/>
        <v>2023</v>
      </c>
      <c r="M847" t="str">
        <f t="shared" si="79"/>
        <v>Aug</v>
      </c>
      <c r="N847" t="str">
        <f t="shared" si="80"/>
        <v>Sun</v>
      </c>
      <c r="O847" s="1">
        <f t="shared" si="81"/>
        <v>4</v>
      </c>
      <c r="P847" s="1">
        <f t="shared" si="82"/>
        <v>11.5</v>
      </c>
      <c r="Q847" s="1">
        <f>ROUND(G847*H847*VLOOKUP(D847,'Cost Product'!A$1:C$21,3,FALSE),0)</f>
        <v>6</v>
      </c>
      <c r="R847" s="1">
        <f t="shared" si="83"/>
        <v>5.5</v>
      </c>
    </row>
    <row r="848" spans="1:18" x14ac:dyDescent="0.25">
      <c r="A848" s="1" t="s">
        <v>1731</v>
      </c>
      <c r="B848" t="s">
        <v>1732</v>
      </c>
      <c r="C848" t="s">
        <v>26</v>
      </c>
      <c r="D848" t="s">
        <v>82</v>
      </c>
      <c r="E848" s="4">
        <v>45158</v>
      </c>
      <c r="F848" s="4">
        <v>45162</v>
      </c>
      <c r="G848" s="1">
        <v>1</v>
      </c>
      <c r="H848" s="1">
        <v>4.25</v>
      </c>
      <c r="I848" t="s">
        <v>13</v>
      </c>
      <c r="J848" t="s">
        <v>2143</v>
      </c>
      <c r="K848" t="s">
        <v>28</v>
      </c>
      <c r="L848" s="1" t="str">
        <f t="shared" si="78"/>
        <v>2023</v>
      </c>
      <c r="M848" t="str">
        <f t="shared" si="79"/>
        <v>Aug</v>
      </c>
      <c r="N848" t="str">
        <f t="shared" si="80"/>
        <v>Sun</v>
      </c>
      <c r="O848" s="1">
        <f t="shared" si="81"/>
        <v>4</v>
      </c>
      <c r="P848" s="1">
        <f t="shared" si="82"/>
        <v>4.25</v>
      </c>
      <c r="Q848" s="1">
        <f>ROUND(G848*H848*VLOOKUP(D848,'Cost Product'!A$1:C$21,3,FALSE),0)</f>
        <v>2</v>
      </c>
      <c r="R848" s="1">
        <f t="shared" si="83"/>
        <v>2.25</v>
      </c>
    </row>
    <row r="849" spans="1:18" x14ac:dyDescent="0.25">
      <c r="A849" s="1" t="s">
        <v>1733</v>
      </c>
      <c r="B849" t="s">
        <v>1734</v>
      </c>
      <c r="C849" t="s">
        <v>11</v>
      </c>
      <c r="D849" t="s">
        <v>12</v>
      </c>
      <c r="E849" s="4">
        <v>45385</v>
      </c>
      <c r="F849" s="4">
        <v>45389</v>
      </c>
      <c r="G849" s="1">
        <v>5</v>
      </c>
      <c r="H849" s="1">
        <v>6.5</v>
      </c>
      <c r="I849" t="s">
        <v>13</v>
      </c>
      <c r="J849" t="s">
        <v>2143</v>
      </c>
      <c r="K849" t="s">
        <v>14</v>
      </c>
      <c r="L849" s="1" t="str">
        <f t="shared" si="78"/>
        <v>2024</v>
      </c>
      <c r="M849" t="str">
        <f t="shared" si="79"/>
        <v>Apr</v>
      </c>
      <c r="N849" t="str">
        <f t="shared" si="80"/>
        <v>Wed</v>
      </c>
      <c r="O849" s="1">
        <f t="shared" si="81"/>
        <v>4</v>
      </c>
      <c r="P849" s="1">
        <f t="shared" si="82"/>
        <v>32.5</v>
      </c>
      <c r="Q849" s="1">
        <f>ROUND(G849*H849*VLOOKUP(D849,'Cost Product'!A$1:C$21,3,FALSE),0)</f>
        <v>19</v>
      </c>
      <c r="R849" s="1">
        <f t="shared" si="83"/>
        <v>13.5</v>
      </c>
    </row>
    <row r="850" spans="1:18" x14ac:dyDescent="0.25">
      <c r="A850" s="1" t="s">
        <v>1735</v>
      </c>
      <c r="B850" t="s">
        <v>1736</v>
      </c>
      <c r="C850" t="s">
        <v>22</v>
      </c>
      <c r="D850" t="s">
        <v>23</v>
      </c>
      <c r="E850" s="4">
        <v>45314</v>
      </c>
      <c r="F850" s="4">
        <v>45328</v>
      </c>
      <c r="G850" s="1">
        <v>2</v>
      </c>
      <c r="H850" s="1">
        <v>10</v>
      </c>
      <c r="I850" t="s">
        <v>13</v>
      </c>
      <c r="J850" t="s">
        <v>2141</v>
      </c>
      <c r="K850" t="s">
        <v>28</v>
      </c>
      <c r="L850" s="1" t="str">
        <f t="shared" si="78"/>
        <v>2024</v>
      </c>
      <c r="M850" t="str">
        <f t="shared" si="79"/>
        <v>Jan</v>
      </c>
      <c r="N850" t="str">
        <f t="shared" si="80"/>
        <v>Tue</v>
      </c>
      <c r="O850" s="1">
        <f t="shared" si="81"/>
        <v>14</v>
      </c>
      <c r="P850" s="1">
        <f t="shared" si="82"/>
        <v>20</v>
      </c>
      <c r="Q850" s="1">
        <f>ROUND(G850*H850*VLOOKUP(D850,'Cost Product'!A$1:C$21,3,FALSE),0)</f>
        <v>13</v>
      </c>
      <c r="R850" s="1">
        <f t="shared" si="83"/>
        <v>7</v>
      </c>
    </row>
    <row r="851" spans="1:18" x14ac:dyDescent="0.25">
      <c r="A851" s="1" t="s">
        <v>1737</v>
      </c>
      <c r="B851" t="s">
        <v>1738</v>
      </c>
      <c r="C851" t="s">
        <v>26</v>
      </c>
      <c r="D851" t="s">
        <v>104</v>
      </c>
      <c r="E851" s="4">
        <v>45135</v>
      </c>
      <c r="F851" s="4">
        <v>45141</v>
      </c>
      <c r="G851" s="1">
        <v>2</v>
      </c>
      <c r="H851" s="1">
        <v>4.5</v>
      </c>
      <c r="I851" t="s">
        <v>13</v>
      </c>
      <c r="J851" t="s">
        <v>2143</v>
      </c>
      <c r="K851" t="s">
        <v>19</v>
      </c>
      <c r="L851" s="1" t="str">
        <f t="shared" si="78"/>
        <v>2023</v>
      </c>
      <c r="M851" t="str">
        <f t="shared" si="79"/>
        <v>Jul</v>
      </c>
      <c r="N851" t="str">
        <f t="shared" si="80"/>
        <v>Fri</v>
      </c>
      <c r="O851" s="1">
        <f t="shared" si="81"/>
        <v>6</v>
      </c>
      <c r="P851" s="1">
        <f t="shared" si="82"/>
        <v>9</v>
      </c>
      <c r="Q851" s="1">
        <f>ROUND(G851*H851*VLOOKUP(D851,'Cost Product'!A$1:C$21,3,FALSE),0)</f>
        <v>5</v>
      </c>
      <c r="R851" s="1">
        <f t="shared" si="83"/>
        <v>4</v>
      </c>
    </row>
    <row r="852" spans="1:18" x14ac:dyDescent="0.25">
      <c r="A852" s="1" t="s">
        <v>1739</v>
      </c>
      <c r="B852" t="s">
        <v>1740</v>
      </c>
      <c r="C852" t="s">
        <v>65</v>
      </c>
      <c r="D852" t="s">
        <v>66</v>
      </c>
      <c r="E852" s="4">
        <v>45236</v>
      </c>
      <c r="F852" s="4">
        <v>45247</v>
      </c>
      <c r="G852" s="1">
        <v>5</v>
      </c>
      <c r="H852" s="1">
        <v>3.5</v>
      </c>
      <c r="I852" t="s">
        <v>13</v>
      </c>
      <c r="J852" t="s">
        <v>2145</v>
      </c>
      <c r="K852" t="s">
        <v>19</v>
      </c>
      <c r="L852" s="1" t="str">
        <f t="shared" si="78"/>
        <v>2023</v>
      </c>
      <c r="M852" t="str">
        <f t="shared" si="79"/>
        <v>Nov</v>
      </c>
      <c r="N852" t="str">
        <f t="shared" si="80"/>
        <v>Mon</v>
      </c>
      <c r="O852" s="1">
        <f t="shared" si="81"/>
        <v>11</v>
      </c>
      <c r="P852" s="1">
        <f t="shared" si="82"/>
        <v>17.5</v>
      </c>
      <c r="Q852" s="1">
        <f>ROUND(G852*H852*VLOOKUP(D852,'Cost Product'!A$1:C$21,3,FALSE),0)</f>
        <v>8</v>
      </c>
      <c r="R852" s="1">
        <f t="shared" si="83"/>
        <v>9.5</v>
      </c>
    </row>
    <row r="853" spans="1:18" x14ac:dyDescent="0.25">
      <c r="A853" s="1" t="s">
        <v>1741</v>
      </c>
      <c r="B853" t="s">
        <v>1742</v>
      </c>
      <c r="C853" t="s">
        <v>65</v>
      </c>
      <c r="D853" t="s">
        <v>120</v>
      </c>
      <c r="E853" s="4">
        <v>45253</v>
      </c>
      <c r="F853" s="4">
        <v>45255</v>
      </c>
      <c r="G853" s="1">
        <v>1</v>
      </c>
      <c r="H853" s="1">
        <v>3.75</v>
      </c>
      <c r="I853" t="s">
        <v>13</v>
      </c>
      <c r="J853" t="s">
        <v>2142</v>
      </c>
      <c r="K853" t="s">
        <v>28</v>
      </c>
      <c r="L853" s="1" t="str">
        <f t="shared" si="78"/>
        <v>2023</v>
      </c>
      <c r="M853" t="str">
        <f t="shared" si="79"/>
        <v>Nov</v>
      </c>
      <c r="N853" t="str">
        <f t="shared" si="80"/>
        <v>Thu</v>
      </c>
      <c r="O853" s="1">
        <f t="shared" si="81"/>
        <v>2</v>
      </c>
      <c r="P853" s="1">
        <f t="shared" si="82"/>
        <v>3.75</v>
      </c>
      <c r="Q853" s="1">
        <f>ROUND(G853*H853*VLOOKUP(D853,'Cost Product'!A$1:C$21,3,FALSE),0)</f>
        <v>2</v>
      </c>
      <c r="R853" s="1">
        <f t="shared" si="83"/>
        <v>1.75</v>
      </c>
    </row>
    <row r="854" spans="1:18" x14ac:dyDescent="0.25">
      <c r="A854" s="1" t="s">
        <v>1743</v>
      </c>
      <c r="B854" t="s">
        <v>1744</v>
      </c>
      <c r="C854" t="s">
        <v>17</v>
      </c>
      <c r="D854" t="s">
        <v>79</v>
      </c>
      <c r="E854" s="4">
        <v>45440</v>
      </c>
      <c r="F854" s="4">
        <v>45442</v>
      </c>
      <c r="G854" s="1">
        <v>5</v>
      </c>
      <c r="H854" s="1">
        <v>5</v>
      </c>
      <c r="I854" t="s">
        <v>40</v>
      </c>
      <c r="J854" t="s">
        <v>2141</v>
      </c>
      <c r="K854" t="s">
        <v>28</v>
      </c>
      <c r="L854" s="1" t="str">
        <f t="shared" si="78"/>
        <v>2024</v>
      </c>
      <c r="M854" t="str">
        <f t="shared" si="79"/>
        <v>May</v>
      </c>
      <c r="N854" t="str">
        <f t="shared" si="80"/>
        <v>Tue</v>
      </c>
      <c r="O854" s="1">
        <f t="shared" si="81"/>
        <v>2</v>
      </c>
      <c r="P854" s="1">
        <f t="shared" si="82"/>
        <v>25</v>
      </c>
      <c r="Q854" s="1">
        <f>ROUND(G854*H854*VLOOKUP(D854,'Cost Product'!A$1:C$21,3,FALSE),0)</f>
        <v>14</v>
      </c>
      <c r="R854" s="1">
        <f t="shared" si="83"/>
        <v>11</v>
      </c>
    </row>
    <row r="855" spans="1:18" x14ac:dyDescent="0.25">
      <c r="A855" s="1" t="s">
        <v>1745</v>
      </c>
      <c r="B855" t="s">
        <v>1746</v>
      </c>
      <c r="C855" t="s">
        <v>26</v>
      </c>
      <c r="D855" t="s">
        <v>45</v>
      </c>
      <c r="E855" s="4">
        <v>45446</v>
      </c>
      <c r="F855" s="4">
        <v>45452</v>
      </c>
      <c r="G855" s="1">
        <v>3</v>
      </c>
      <c r="H855" s="1">
        <v>4.5</v>
      </c>
      <c r="I855" t="s">
        <v>40</v>
      </c>
      <c r="J855" t="s">
        <v>2145</v>
      </c>
      <c r="K855" t="s">
        <v>19</v>
      </c>
      <c r="L855" s="1" t="str">
        <f t="shared" si="78"/>
        <v>2024</v>
      </c>
      <c r="M855" t="str">
        <f t="shared" si="79"/>
        <v>Jun</v>
      </c>
      <c r="N855" t="str">
        <f t="shared" si="80"/>
        <v>Mon</v>
      </c>
      <c r="O855" s="1">
        <f t="shared" si="81"/>
        <v>6</v>
      </c>
      <c r="P855" s="1">
        <f t="shared" si="82"/>
        <v>13.5</v>
      </c>
      <c r="Q855" s="1">
        <f>ROUND(G855*H855*VLOOKUP(D855,'Cost Product'!A$1:C$21,3,FALSE),0)</f>
        <v>7</v>
      </c>
      <c r="R855" s="1">
        <f t="shared" si="83"/>
        <v>6.5</v>
      </c>
    </row>
    <row r="856" spans="1:18" x14ac:dyDescent="0.25">
      <c r="A856" s="1" t="s">
        <v>1747</v>
      </c>
      <c r="B856" t="s">
        <v>1748</v>
      </c>
      <c r="C856" t="s">
        <v>22</v>
      </c>
      <c r="D856" t="s">
        <v>23</v>
      </c>
      <c r="E856" s="4">
        <v>45533</v>
      </c>
      <c r="F856" s="4">
        <v>45539</v>
      </c>
      <c r="G856" s="1">
        <v>5</v>
      </c>
      <c r="H856" s="1">
        <v>10</v>
      </c>
      <c r="I856" t="s">
        <v>13</v>
      </c>
      <c r="J856" t="s">
        <v>2142</v>
      </c>
      <c r="K856" t="s">
        <v>28</v>
      </c>
      <c r="L856" s="1" t="str">
        <f t="shared" si="78"/>
        <v>2024</v>
      </c>
      <c r="M856" t="str">
        <f t="shared" si="79"/>
        <v>Aug</v>
      </c>
      <c r="N856" t="str">
        <f t="shared" si="80"/>
        <v>Thu</v>
      </c>
      <c r="O856" s="1">
        <f t="shared" si="81"/>
        <v>6</v>
      </c>
      <c r="P856" s="1">
        <f t="shared" si="82"/>
        <v>50</v>
      </c>
      <c r="Q856" s="1">
        <f>ROUND(G856*H856*VLOOKUP(D856,'Cost Product'!A$1:C$21,3,FALSE),0)</f>
        <v>33</v>
      </c>
      <c r="R856" s="1">
        <f t="shared" si="83"/>
        <v>17</v>
      </c>
    </row>
    <row r="857" spans="1:18" x14ac:dyDescent="0.25">
      <c r="A857" s="1" t="s">
        <v>1749</v>
      </c>
      <c r="B857" t="s">
        <v>1750</v>
      </c>
      <c r="C857" t="s">
        <v>26</v>
      </c>
      <c r="D857" t="s">
        <v>45</v>
      </c>
      <c r="E857" s="4">
        <v>45354</v>
      </c>
      <c r="F857" s="4">
        <v>45355</v>
      </c>
      <c r="G857" s="1">
        <v>4</v>
      </c>
      <c r="H857" s="1">
        <v>4.5</v>
      </c>
      <c r="I857" t="s">
        <v>13</v>
      </c>
      <c r="J857" t="s">
        <v>2141</v>
      </c>
      <c r="K857" t="s">
        <v>14</v>
      </c>
      <c r="L857" s="1" t="str">
        <f t="shared" si="78"/>
        <v>2024</v>
      </c>
      <c r="M857" t="str">
        <f t="shared" si="79"/>
        <v>Mar</v>
      </c>
      <c r="N857" t="str">
        <f t="shared" si="80"/>
        <v>Sun</v>
      </c>
      <c r="O857" s="1">
        <f t="shared" si="81"/>
        <v>1</v>
      </c>
      <c r="P857" s="1">
        <f t="shared" si="82"/>
        <v>18</v>
      </c>
      <c r="Q857" s="1">
        <f>ROUND(G857*H857*VLOOKUP(D857,'Cost Product'!A$1:C$21,3,FALSE),0)</f>
        <v>9</v>
      </c>
      <c r="R857" s="1">
        <f t="shared" si="83"/>
        <v>9</v>
      </c>
    </row>
    <row r="858" spans="1:18" x14ac:dyDescent="0.25">
      <c r="A858" s="1" t="s">
        <v>1751</v>
      </c>
      <c r="B858" t="s">
        <v>1752</v>
      </c>
      <c r="C858" t="s">
        <v>17</v>
      </c>
      <c r="D858" t="s">
        <v>18</v>
      </c>
      <c r="E858" s="4">
        <v>45206</v>
      </c>
      <c r="F858" s="4">
        <v>45209</v>
      </c>
      <c r="G858" s="1">
        <v>4</v>
      </c>
      <c r="H858" s="1">
        <v>5.5</v>
      </c>
      <c r="I858" t="s">
        <v>13</v>
      </c>
      <c r="J858" t="s">
        <v>2143</v>
      </c>
      <c r="K858" t="s">
        <v>28</v>
      </c>
      <c r="L858" s="1" t="str">
        <f t="shared" si="78"/>
        <v>2023</v>
      </c>
      <c r="M858" t="str">
        <f t="shared" si="79"/>
        <v>Oct</v>
      </c>
      <c r="N858" t="str">
        <f t="shared" si="80"/>
        <v>Sat</v>
      </c>
      <c r="O858" s="1">
        <f t="shared" si="81"/>
        <v>3</v>
      </c>
      <c r="P858" s="1">
        <f t="shared" si="82"/>
        <v>22</v>
      </c>
      <c r="Q858" s="1">
        <f>ROUND(G858*H858*VLOOKUP(D858,'Cost Product'!A$1:C$21,3,FALSE),0)</f>
        <v>13</v>
      </c>
      <c r="R858" s="1">
        <f t="shared" si="83"/>
        <v>9</v>
      </c>
    </row>
    <row r="859" spans="1:18" x14ac:dyDescent="0.25">
      <c r="A859" s="1" t="s">
        <v>1753</v>
      </c>
      <c r="B859" t="s">
        <v>1754</v>
      </c>
      <c r="C859" t="s">
        <v>26</v>
      </c>
      <c r="D859" t="s">
        <v>45</v>
      </c>
      <c r="E859" s="4">
        <v>45542</v>
      </c>
      <c r="F859" s="4">
        <v>45544</v>
      </c>
      <c r="G859" s="1">
        <v>2</v>
      </c>
      <c r="H859" s="1">
        <v>4.5</v>
      </c>
      <c r="I859" t="s">
        <v>13</v>
      </c>
      <c r="J859" t="s">
        <v>2146</v>
      </c>
      <c r="K859" t="s">
        <v>28</v>
      </c>
      <c r="L859" s="1" t="str">
        <f t="shared" si="78"/>
        <v>2024</v>
      </c>
      <c r="M859" t="str">
        <f t="shared" si="79"/>
        <v>Sep</v>
      </c>
      <c r="N859" t="str">
        <f t="shared" si="80"/>
        <v>Sat</v>
      </c>
      <c r="O859" s="1">
        <f t="shared" si="81"/>
        <v>2</v>
      </c>
      <c r="P859" s="1">
        <f t="shared" si="82"/>
        <v>9</v>
      </c>
      <c r="Q859" s="1">
        <f>ROUND(G859*H859*VLOOKUP(D859,'Cost Product'!A$1:C$21,3,FALSE),0)</f>
        <v>5</v>
      </c>
      <c r="R859" s="1">
        <f t="shared" si="83"/>
        <v>4</v>
      </c>
    </row>
    <row r="860" spans="1:18" x14ac:dyDescent="0.25">
      <c r="A860" s="1" t="s">
        <v>1755</v>
      </c>
      <c r="B860" t="s">
        <v>1756</v>
      </c>
      <c r="C860" t="s">
        <v>65</v>
      </c>
      <c r="D860" t="s">
        <v>115</v>
      </c>
      <c r="E860" s="4">
        <v>45112</v>
      </c>
      <c r="F860" s="4">
        <v>45115</v>
      </c>
      <c r="G860" s="1">
        <v>1</v>
      </c>
      <c r="H860" s="1">
        <v>3</v>
      </c>
      <c r="I860" t="s">
        <v>13</v>
      </c>
      <c r="J860" t="s">
        <v>2142</v>
      </c>
      <c r="K860" t="s">
        <v>19</v>
      </c>
      <c r="L860" s="1" t="str">
        <f t="shared" si="78"/>
        <v>2023</v>
      </c>
      <c r="M860" t="str">
        <f t="shared" si="79"/>
        <v>Jul</v>
      </c>
      <c r="N860" t="str">
        <f t="shared" si="80"/>
        <v>Wed</v>
      </c>
      <c r="O860" s="1">
        <f t="shared" si="81"/>
        <v>3</v>
      </c>
      <c r="P860" s="1">
        <f t="shared" si="82"/>
        <v>3</v>
      </c>
      <c r="Q860" s="1">
        <f>ROUND(G860*H860*VLOOKUP(D860,'Cost Product'!A$1:C$21,3,FALSE),0)</f>
        <v>1</v>
      </c>
      <c r="R860" s="1">
        <f t="shared" si="83"/>
        <v>2</v>
      </c>
    </row>
    <row r="861" spans="1:18" x14ac:dyDescent="0.25">
      <c r="A861" s="1" t="s">
        <v>1757</v>
      </c>
      <c r="B861" t="s">
        <v>1758</v>
      </c>
      <c r="C861" t="s">
        <v>17</v>
      </c>
      <c r="D861" t="s">
        <v>79</v>
      </c>
      <c r="E861" s="4">
        <v>45443</v>
      </c>
      <c r="F861" s="4">
        <v>45444</v>
      </c>
      <c r="G861" s="1">
        <v>5</v>
      </c>
      <c r="H861" s="1">
        <v>5</v>
      </c>
      <c r="I861" t="s">
        <v>13</v>
      </c>
      <c r="J861" t="s">
        <v>2141</v>
      </c>
      <c r="K861" t="s">
        <v>28</v>
      </c>
      <c r="L861" s="1" t="str">
        <f t="shared" si="78"/>
        <v>2024</v>
      </c>
      <c r="M861" t="str">
        <f t="shared" si="79"/>
        <v>May</v>
      </c>
      <c r="N861" t="str">
        <f t="shared" si="80"/>
        <v>Fri</v>
      </c>
      <c r="O861" s="1">
        <f t="shared" si="81"/>
        <v>1</v>
      </c>
      <c r="P861" s="1">
        <f t="shared" si="82"/>
        <v>25</v>
      </c>
      <c r="Q861" s="1">
        <f>ROUND(G861*H861*VLOOKUP(D861,'Cost Product'!A$1:C$21,3,FALSE),0)</f>
        <v>14</v>
      </c>
      <c r="R861" s="1">
        <f t="shared" si="83"/>
        <v>11</v>
      </c>
    </row>
    <row r="862" spans="1:18" x14ac:dyDescent="0.25">
      <c r="A862" s="1" t="s">
        <v>1759</v>
      </c>
      <c r="B862" t="s">
        <v>1760</v>
      </c>
      <c r="C862" t="s">
        <v>11</v>
      </c>
      <c r="D862" t="s">
        <v>39</v>
      </c>
      <c r="E862" s="4">
        <v>45192</v>
      </c>
      <c r="F862" s="4">
        <v>45193</v>
      </c>
      <c r="G862" s="1">
        <v>1</v>
      </c>
      <c r="H862" s="1">
        <v>5.75</v>
      </c>
      <c r="I862" t="s">
        <v>13</v>
      </c>
      <c r="J862" t="s">
        <v>2142</v>
      </c>
      <c r="K862" t="s">
        <v>14</v>
      </c>
      <c r="L862" s="1" t="str">
        <f t="shared" si="78"/>
        <v>2023</v>
      </c>
      <c r="M862" t="str">
        <f t="shared" si="79"/>
        <v>Sep</v>
      </c>
      <c r="N862" t="str">
        <f t="shared" si="80"/>
        <v>Sat</v>
      </c>
      <c r="O862" s="1">
        <f t="shared" si="81"/>
        <v>1</v>
      </c>
      <c r="P862" s="1">
        <f t="shared" si="82"/>
        <v>5.75</v>
      </c>
      <c r="Q862" s="1">
        <f>ROUND(G862*H862*VLOOKUP(D862,'Cost Product'!A$1:C$21,3,FALSE),0)</f>
        <v>3</v>
      </c>
      <c r="R862" s="1">
        <f t="shared" si="83"/>
        <v>2.75</v>
      </c>
    </row>
    <row r="863" spans="1:18" x14ac:dyDescent="0.25">
      <c r="A863" s="1" t="s">
        <v>1761</v>
      </c>
      <c r="B863" t="s">
        <v>1762</v>
      </c>
      <c r="C863" t="s">
        <v>11</v>
      </c>
      <c r="D863" t="s">
        <v>12</v>
      </c>
      <c r="E863" s="4">
        <v>45373</v>
      </c>
      <c r="F863" s="4">
        <v>45374</v>
      </c>
      <c r="G863" s="1">
        <v>2</v>
      </c>
      <c r="H863" s="1">
        <v>6.5</v>
      </c>
      <c r="I863" t="s">
        <v>13</v>
      </c>
      <c r="J863" t="s">
        <v>2145</v>
      </c>
      <c r="K863" t="s">
        <v>19</v>
      </c>
      <c r="L863" s="1" t="str">
        <f t="shared" si="78"/>
        <v>2024</v>
      </c>
      <c r="M863" t="str">
        <f t="shared" si="79"/>
        <v>Mar</v>
      </c>
      <c r="N863" t="str">
        <f t="shared" si="80"/>
        <v>Fri</v>
      </c>
      <c r="O863" s="1">
        <f t="shared" si="81"/>
        <v>1</v>
      </c>
      <c r="P863" s="1">
        <f t="shared" si="82"/>
        <v>13</v>
      </c>
      <c r="Q863" s="1">
        <f>ROUND(G863*H863*VLOOKUP(D863,'Cost Product'!A$1:C$21,3,FALSE),0)</f>
        <v>8</v>
      </c>
      <c r="R863" s="1">
        <f t="shared" si="83"/>
        <v>5</v>
      </c>
    </row>
    <row r="864" spans="1:18" x14ac:dyDescent="0.25">
      <c r="A864" s="1" t="s">
        <v>1763</v>
      </c>
      <c r="B864" t="s">
        <v>1764</v>
      </c>
      <c r="C864" t="s">
        <v>26</v>
      </c>
      <c r="D864" t="s">
        <v>82</v>
      </c>
      <c r="E864" s="4">
        <v>45193</v>
      </c>
      <c r="F864" s="4">
        <v>45195</v>
      </c>
      <c r="G864" s="1">
        <v>5</v>
      </c>
      <c r="H864" s="1">
        <v>4.25</v>
      </c>
      <c r="I864" t="s">
        <v>13</v>
      </c>
      <c r="J864" t="s">
        <v>2142</v>
      </c>
      <c r="K864" t="s">
        <v>28</v>
      </c>
      <c r="L864" s="1" t="str">
        <f t="shared" si="78"/>
        <v>2023</v>
      </c>
      <c r="M864" t="str">
        <f t="shared" si="79"/>
        <v>Sep</v>
      </c>
      <c r="N864" t="str">
        <f t="shared" si="80"/>
        <v>Sun</v>
      </c>
      <c r="O864" s="1">
        <f t="shared" si="81"/>
        <v>2</v>
      </c>
      <c r="P864" s="1">
        <f t="shared" si="82"/>
        <v>21.25</v>
      </c>
      <c r="Q864" s="1">
        <f>ROUND(G864*H864*VLOOKUP(D864,'Cost Product'!A$1:C$21,3,FALSE),0)</f>
        <v>10</v>
      </c>
      <c r="R864" s="1">
        <f t="shared" si="83"/>
        <v>11.25</v>
      </c>
    </row>
    <row r="865" spans="1:18" x14ac:dyDescent="0.25">
      <c r="A865" s="1" t="s">
        <v>1765</v>
      </c>
      <c r="B865" t="s">
        <v>1766</v>
      </c>
      <c r="C865" t="s">
        <v>22</v>
      </c>
      <c r="D865" t="s">
        <v>23</v>
      </c>
      <c r="E865" s="4">
        <v>45497</v>
      </c>
      <c r="F865" s="4">
        <v>45504</v>
      </c>
      <c r="G865" s="1">
        <v>4</v>
      </c>
      <c r="H865" s="1">
        <v>10</v>
      </c>
      <c r="I865" t="s">
        <v>13</v>
      </c>
      <c r="J865" t="s">
        <v>2141</v>
      </c>
      <c r="K865" t="s">
        <v>19</v>
      </c>
      <c r="L865" s="1" t="str">
        <f t="shared" si="78"/>
        <v>2024</v>
      </c>
      <c r="M865" t="str">
        <f t="shared" si="79"/>
        <v>Jul</v>
      </c>
      <c r="N865" t="str">
        <f t="shared" si="80"/>
        <v>Wed</v>
      </c>
      <c r="O865" s="1">
        <f t="shared" si="81"/>
        <v>7</v>
      </c>
      <c r="P865" s="1">
        <f t="shared" si="82"/>
        <v>40</v>
      </c>
      <c r="Q865" s="1">
        <f>ROUND(G865*H865*VLOOKUP(D865,'Cost Product'!A$1:C$21,3,FALSE),0)</f>
        <v>26</v>
      </c>
      <c r="R865" s="1">
        <f t="shared" si="83"/>
        <v>14</v>
      </c>
    </row>
    <row r="866" spans="1:18" x14ac:dyDescent="0.25">
      <c r="A866" s="1" t="s">
        <v>1767</v>
      </c>
      <c r="B866" t="s">
        <v>1768</v>
      </c>
      <c r="C866" t="s">
        <v>65</v>
      </c>
      <c r="D866" t="s">
        <v>115</v>
      </c>
      <c r="E866" s="4">
        <v>45517</v>
      </c>
      <c r="F866" s="4">
        <v>45518</v>
      </c>
      <c r="G866" s="1">
        <v>5</v>
      </c>
      <c r="H866" s="1">
        <v>3</v>
      </c>
      <c r="I866" t="s">
        <v>13</v>
      </c>
      <c r="J866" t="s">
        <v>2144</v>
      </c>
      <c r="K866" t="s">
        <v>28</v>
      </c>
      <c r="L866" s="1" t="str">
        <f t="shared" si="78"/>
        <v>2024</v>
      </c>
      <c r="M866" t="str">
        <f t="shared" si="79"/>
        <v>Aug</v>
      </c>
      <c r="N866" t="str">
        <f t="shared" si="80"/>
        <v>Tue</v>
      </c>
      <c r="O866" s="1">
        <f t="shared" si="81"/>
        <v>1</v>
      </c>
      <c r="P866" s="1">
        <f t="shared" si="82"/>
        <v>15</v>
      </c>
      <c r="Q866" s="1">
        <f>ROUND(G866*H866*VLOOKUP(D866,'Cost Product'!A$1:C$21,3,FALSE),0)</f>
        <v>7</v>
      </c>
      <c r="R866" s="1">
        <f t="shared" si="83"/>
        <v>8</v>
      </c>
    </row>
    <row r="867" spans="1:18" x14ac:dyDescent="0.25">
      <c r="A867" s="1" t="s">
        <v>1769</v>
      </c>
      <c r="B867" t="s">
        <v>1770</v>
      </c>
      <c r="C867" t="s">
        <v>17</v>
      </c>
      <c r="D867" t="s">
        <v>79</v>
      </c>
      <c r="E867" s="4">
        <v>45385</v>
      </c>
      <c r="F867" s="4">
        <v>45386</v>
      </c>
      <c r="G867" s="1">
        <v>5</v>
      </c>
      <c r="H867" s="1">
        <v>5</v>
      </c>
      <c r="I867" t="s">
        <v>40</v>
      </c>
      <c r="J867" t="s">
        <v>2141</v>
      </c>
      <c r="K867" t="s">
        <v>28</v>
      </c>
      <c r="L867" s="1" t="str">
        <f t="shared" si="78"/>
        <v>2024</v>
      </c>
      <c r="M867" t="str">
        <f t="shared" si="79"/>
        <v>Apr</v>
      </c>
      <c r="N867" t="str">
        <f t="shared" si="80"/>
        <v>Wed</v>
      </c>
      <c r="O867" s="1">
        <f t="shared" si="81"/>
        <v>1</v>
      </c>
      <c r="P867" s="1">
        <f t="shared" si="82"/>
        <v>25</v>
      </c>
      <c r="Q867" s="1">
        <f>ROUND(G867*H867*VLOOKUP(D867,'Cost Product'!A$1:C$21,3,FALSE),0)</f>
        <v>14</v>
      </c>
      <c r="R867" s="1">
        <f t="shared" si="83"/>
        <v>11</v>
      </c>
    </row>
    <row r="868" spans="1:18" x14ac:dyDescent="0.25">
      <c r="A868" s="1" t="s">
        <v>1771</v>
      </c>
      <c r="B868" t="s">
        <v>1772</v>
      </c>
      <c r="C868" t="s">
        <v>22</v>
      </c>
      <c r="D868" t="s">
        <v>23</v>
      </c>
      <c r="E868" s="4">
        <v>45478</v>
      </c>
      <c r="F868" s="4">
        <v>45483</v>
      </c>
      <c r="G868" s="1">
        <v>4</v>
      </c>
      <c r="H868" s="1">
        <v>10</v>
      </c>
      <c r="I868" t="s">
        <v>13</v>
      </c>
      <c r="J868" t="s">
        <v>2142</v>
      </c>
      <c r="K868" t="s">
        <v>28</v>
      </c>
      <c r="L868" s="1" t="str">
        <f t="shared" si="78"/>
        <v>2024</v>
      </c>
      <c r="M868" t="str">
        <f t="shared" si="79"/>
        <v>Jul</v>
      </c>
      <c r="N868" t="str">
        <f t="shared" si="80"/>
        <v>Fri</v>
      </c>
      <c r="O868" s="1">
        <f t="shared" si="81"/>
        <v>5</v>
      </c>
      <c r="P868" s="1">
        <f t="shared" si="82"/>
        <v>40</v>
      </c>
      <c r="Q868" s="1">
        <f>ROUND(G868*H868*VLOOKUP(D868,'Cost Product'!A$1:C$21,3,FALSE),0)</f>
        <v>26</v>
      </c>
      <c r="R868" s="1">
        <f t="shared" si="83"/>
        <v>14</v>
      </c>
    </row>
    <row r="869" spans="1:18" x14ac:dyDescent="0.25">
      <c r="A869" s="1" t="s">
        <v>1773</v>
      </c>
      <c r="B869" t="s">
        <v>1774</v>
      </c>
      <c r="C869" t="s">
        <v>11</v>
      </c>
      <c r="D869" t="s">
        <v>36</v>
      </c>
      <c r="E869" s="4">
        <v>45502</v>
      </c>
      <c r="F869" s="4">
        <v>45504</v>
      </c>
      <c r="G869" s="1">
        <v>3</v>
      </c>
      <c r="H869" s="1">
        <v>6.25</v>
      </c>
      <c r="I869" t="s">
        <v>13</v>
      </c>
      <c r="J869" t="s">
        <v>2141</v>
      </c>
      <c r="K869" t="s">
        <v>14</v>
      </c>
      <c r="L869" s="1" t="str">
        <f t="shared" si="78"/>
        <v>2024</v>
      </c>
      <c r="M869" t="str">
        <f t="shared" si="79"/>
        <v>Jul</v>
      </c>
      <c r="N869" t="str">
        <f t="shared" si="80"/>
        <v>Mon</v>
      </c>
      <c r="O869" s="1">
        <f t="shared" si="81"/>
        <v>2</v>
      </c>
      <c r="P869" s="1">
        <f t="shared" si="82"/>
        <v>18.75</v>
      </c>
      <c r="Q869" s="1">
        <f>ROUND(G869*H869*VLOOKUP(D869,'Cost Product'!A$1:C$21,3,FALSE),0)</f>
        <v>10</v>
      </c>
      <c r="R869" s="1">
        <f t="shared" si="83"/>
        <v>8.75</v>
      </c>
    </row>
    <row r="870" spans="1:18" x14ac:dyDescent="0.25">
      <c r="A870" s="1" t="s">
        <v>1775</v>
      </c>
      <c r="B870" t="s">
        <v>1776</v>
      </c>
      <c r="C870" t="s">
        <v>65</v>
      </c>
      <c r="D870" t="s">
        <v>115</v>
      </c>
      <c r="E870" s="4">
        <v>45564</v>
      </c>
      <c r="F870" s="4">
        <v>45565</v>
      </c>
      <c r="G870" s="1">
        <v>4</v>
      </c>
      <c r="H870" s="1">
        <v>3</v>
      </c>
      <c r="I870" t="s">
        <v>13</v>
      </c>
      <c r="J870" t="s">
        <v>2141</v>
      </c>
      <c r="K870" t="s">
        <v>28</v>
      </c>
      <c r="L870" s="1" t="str">
        <f t="shared" si="78"/>
        <v>2024</v>
      </c>
      <c r="M870" t="str">
        <f t="shared" si="79"/>
        <v>Sep</v>
      </c>
      <c r="N870" t="str">
        <f t="shared" si="80"/>
        <v>Sun</v>
      </c>
      <c r="O870" s="1">
        <f t="shared" si="81"/>
        <v>1</v>
      </c>
      <c r="P870" s="1">
        <f t="shared" si="82"/>
        <v>12</v>
      </c>
      <c r="Q870" s="1">
        <f>ROUND(G870*H870*VLOOKUP(D870,'Cost Product'!A$1:C$21,3,FALSE),0)</f>
        <v>6</v>
      </c>
      <c r="R870" s="1">
        <f t="shared" si="83"/>
        <v>6</v>
      </c>
    </row>
    <row r="871" spans="1:18" x14ac:dyDescent="0.25">
      <c r="A871" s="1" t="s">
        <v>1777</v>
      </c>
      <c r="B871" t="s">
        <v>1778</v>
      </c>
      <c r="C871" t="s">
        <v>65</v>
      </c>
      <c r="D871" t="s">
        <v>120</v>
      </c>
      <c r="E871" s="4">
        <v>45111</v>
      </c>
      <c r="F871" s="4">
        <v>45115</v>
      </c>
      <c r="G871" s="1">
        <v>2</v>
      </c>
      <c r="H871" s="1">
        <v>3.75</v>
      </c>
      <c r="I871" t="s">
        <v>13</v>
      </c>
      <c r="J871" t="s">
        <v>2141</v>
      </c>
      <c r="K871" t="s">
        <v>28</v>
      </c>
      <c r="L871" s="1" t="str">
        <f t="shared" si="78"/>
        <v>2023</v>
      </c>
      <c r="M871" t="str">
        <f t="shared" si="79"/>
        <v>Jul</v>
      </c>
      <c r="N871" t="str">
        <f t="shared" si="80"/>
        <v>Tue</v>
      </c>
      <c r="O871" s="1">
        <f t="shared" si="81"/>
        <v>4</v>
      </c>
      <c r="P871" s="1">
        <f t="shared" si="82"/>
        <v>7.5</v>
      </c>
      <c r="Q871" s="1">
        <f>ROUND(G871*H871*VLOOKUP(D871,'Cost Product'!A$1:C$21,3,FALSE),0)</f>
        <v>4</v>
      </c>
      <c r="R871" s="1">
        <f t="shared" si="83"/>
        <v>3.5</v>
      </c>
    </row>
    <row r="872" spans="1:18" x14ac:dyDescent="0.25">
      <c r="A872" s="1" t="s">
        <v>1779</v>
      </c>
      <c r="B872" t="s">
        <v>1780</v>
      </c>
      <c r="C872" t="s">
        <v>22</v>
      </c>
      <c r="D872" t="s">
        <v>23</v>
      </c>
      <c r="E872" s="4">
        <v>45227</v>
      </c>
      <c r="F872" s="4">
        <v>45232</v>
      </c>
      <c r="G872" s="1">
        <v>3</v>
      </c>
      <c r="H872" s="1">
        <v>10</v>
      </c>
      <c r="I872" t="s">
        <v>40</v>
      </c>
      <c r="J872" t="s">
        <v>2143</v>
      </c>
      <c r="K872" t="s">
        <v>28</v>
      </c>
      <c r="L872" s="1" t="str">
        <f t="shared" si="78"/>
        <v>2023</v>
      </c>
      <c r="M872" t="str">
        <f t="shared" si="79"/>
        <v>Oct</v>
      </c>
      <c r="N872" t="str">
        <f t="shared" si="80"/>
        <v>Sat</v>
      </c>
      <c r="O872" s="1">
        <f t="shared" si="81"/>
        <v>5</v>
      </c>
      <c r="P872" s="1">
        <f t="shared" si="82"/>
        <v>30</v>
      </c>
      <c r="Q872" s="1">
        <f>ROUND(G872*H872*VLOOKUP(D872,'Cost Product'!A$1:C$21,3,FALSE),0)</f>
        <v>20</v>
      </c>
      <c r="R872" s="1">
        <f t="shared" si="83"/>
        <v>10</v>
      </c>
    </row>
    <row r="873" spans="1:18" x14ac:dyDescent="0.25">
      <c r="A873" s="1" t="s">
        <v>1781</v>
      </c>
      <c r="B873" t="s">
        <v>1782</v>
      </c>
      <c r="C873" t="s">
        <v>17</v>
      </c>
      <c r="D873" t="s">
        <v>50</v>
      </c>
      <c r="E873" s="4">
        <v>45333</v>
      </c>
      <c r="F873" s="4">
        <v>45334</v>
      </c>
      <c r="G873" s="1">
        <v>2</v>
      </c>
      <c r="H873" s="1">
        <v>5.25</v>
      </c>
      <c r="I873" t="s">
        <v>13</v>
      </c>
      <c r="J873" t="s">
        <v>2142</v>
      </c>
      <c r="K873" t="s">
        <v>28</v>
      </c>
      <c r="L873" s="1" t="str">
        <f t="shared" si="78"/>
        <v>2024</v>
      </c>
      <c r="M873" t="str">
        <f t="shared" si="79"/>
        <v>Feb</v>
      </c>
      <c r="N873" t="str">
        <f t="shared" si="80"/>
        <v>Sun</v>
      </c>
      <c r="O873" s="1">
        <f t="shared" si="81"/>
        <v>1</v>
      </c>
      <c r="P873" s="1">
        <f t="shared" si="82"/>
        <v>10.5</v>
      </c>
      <c r="Q873" s="1">
        <f>ROUND(G873*H873*VLOOKUP(D873,'Cost Product'!A$1:C$21,3,FALSE),0)</f>
        <v>6</v>
      </c>
      <c r="R873" s="1">
        <f t="shared" si="83"/>
        <v>4.5</v>
      </c>
    </row>
    <row r="874" spans="1:18" x14ac:dyDescent="0.25">
      <c r="A874" s="1" t="s">
        <v>1783</v>
      </c>
      <c r="B874" t="s">
        <v>1784</v>
      </c>
      <c r="C874" t="s">
        <v>22</v>
      </c>
      <c r="D874" t="s">
        <v>62</v>
      </c>
      <c r="E874" s="4">
        <v>45546</v>
      </c>
      <c r="F874" s="4">
        <v>45552</v>
      </c>
      <c r="G874" s="1">
        <v>3</v>
      </c>
      <c r="H874" s="1">
        <v>8</v>
      </c>
      <c r="I874" t="s">
        <v>40</v>
      </c>
      <c r="J874" t="s">
        <v>2141</v>
      </c>
      <c r="K874" t="s">
        <v>19</v>
      </c>
      <c r="L874" s="1" t="str">
        <f t="shared" si="78"/>
        <v>2024</v>
      </c>
      <c r="M874" t="str">
        <f t="shared" si="79"/>
        <v>Sep</v>
      </c>
      <c r="N874" t="str">
        <f t="shared" si="80"/>
        <v>Wed</v>
      </c>
      <c r="O874" s="1">
        <f t="shared" si="81"/>
        <v>6</v>
      </c>
      <c r="P874" s="1">
        <f t="shared" si="82"/>
        <v>24</v>
      </c>
      <c r="Q874" s="1">
        <f>ROUND(G874*H874*VLOOKUP(D874,'Cost Product'!A$1:C$21,3,FALSE),0)</f>
        <v>14</v>
      </c>
      <c r="R874" s="1">
        <f t="shared" si="83"/>
        <v>10</v>
      </c>
    </row>
    <row r="875" spans="1:18" x14ac:dyDescent="0.25">
      <c r="A875" s="1" t="s">
        <v>1785</v>
      </c>
      <c r="B875" t="s">
        <v>1786</v>
      </c>
      <c r="C875" t="s">
        <v>65</v>
      </c>
      <c r="D875" t="s">
        <v>115</v>
      </c>
      <c r="E875" s="4">
        <v>45122</v>
      </c>
      <c r="F875" s="4">
        <v>45123</v>
      </c>
      <c r="G875" s="1">
        <v>3</v>
      </c>
      <c r="H875" s="1">
        <v>3</v>
      </c>
      <c r="I875" t="s">
        <v>13</v>
      </c>
      <c r="J875" t="s">
        <v>2144</v>
      </c>
      <c r="K875" t="s">
        <v>14</v>
      </c>
      <c r="L875" s="1" t="str">
        <f t="shared" si="78"/>
        <v>2023</v>
      </c>
      <c r="M875" t="str">
        <f t="shared" si="79"/>
        <v>Jul</v>
      </c>
      <c r="N875" t="str">
        <f t="shared" si="80"/>
        <v>Sat</v>
      </c>
      <c r="O875" s="1">
        <f t="shared" si="81"/>
        <v>1</v>
      </c>
      <c r="P875" s="1">
        <f t="shared" si="82"/>
        <v>9</v>
      </c>
      <c r="Q875" s="1">
        <f>ROUND(G875*H875*VLOOKUP(D875,'Cost Product'!A$1:C$21,3,FALSE),0)</f>
        <v>4</v>
      </c>
      <c r="R875" s="1">
        <f t="shared" si="83"/>
        <v>5</v>
      </c>
    </row>
    <row r="876" spans="1:18" x14ac:dyDescent="0.25">
      <c r="A876" s="1" t="s">
        <v>1787</v>
      </c>
      <c r="B876" t="s">
        <v>1788</v>
      </c>
      <c r="C876" t="s">
        <v>17</v>
      </c>
      <c r="D876" t="s">
        <v>18</v>
      </c>
      <c r="E876" s="4">
        <v>45247</v>
      </c>
      <c r="F876" s="4">
        <v>45261</v>
      </c>
      <c r="G876" s="1">
        <v>5</v>
      </c>
      <c r="H876" s="1">
        <v>5.5</v>
      </c>
      <c r="I876" t="s">
        <v>13</v>
      </c>
      <c r="J876" t="s">
        <v>2141</v>
      </c>
      <c r="K876" t="s">
        <v>28</v>
      </c>
      <c r="L876" s="1" t="str">
        <f t="shared" si="78"/>
        <v>2023</v>
      </c>
      <c r="M876" t="str">
        <f t="shared" si="79"/>
        <v>Nov</v>
      </c>
      <c r="N876" t="str">
        <f t="shared" si="80"/>
        <v>Fri</v>
      </c>
      <c r="O876" s="1">
        <f t="shared" si="81"/>
        <v>14</v>
      </c>
      <c r="P876" s="1">
        <f t="shared" si="82"/>
        <v>27.5</v>
      </c>
      <c r="Q876" s="1">
        <f>ROUND(G876*H876*VLOOKUP(D876,'Cost Product'!A$1:C$21,3,FALSE),0)</f>
        <v>17</v>
      </c>
      <c r="R876" s="1">
        <f t="shared" si="83"/>
        <v>10.5</v>
      </c>
    </row>
    <row r="877" spans="1:18" x14ac:dyDescent="0.25">
      <c r="A877" s="1" t="s">
        <v>1789</v>
      </c>
      <c r="B877" t="s">
        <v>1790</v>
      </c>
      <c r="C877" t="s">
        <v>17</v>
      </c>
      <c r="D877" t="s">
        <v>50</v>
      </c>
      <c r="E877" s="4">
        <v>45179</v>
      </c>
      <c r="F877" s="4">
        <v>45181</v>
      </c>
      <c r="G877" s="1">
        <v>5</v>
      </c>
      <c r="H877" s="1">
        <v>5.25</v>
      </c>
      <c r="I877" t="s">
        <v>13</v>
      </c>
      <c r="J877" t="s">
        <v>2144</v>
      </c>
      <c r="K877" t="s">
        <v>19</v>
      </c>
      <c r="L877" s="1" t="str">
        <f t="shared" si="78"/>
        <v>2023</v>
      </c>
      <c r="M877" t="str">
        <f t="shared" si="79"/>
        <v>Sep</v>
      </c>
      <c r="N877" t="str">
        <f t="shared" si="80"/>
        <v>Sun</v>
      </c>
      <c r="O877" s="1">
        <f t="shared" si="81"/>
        <v>2</v>
      </c>
      <c r="P877" s="1">
        <f t="shared" si="82"/>
        <v>26.25</v>
      </c>
      <c r="Q877" s="1">
        <f>ROUND(G877*H877*VLOOKUP(D877,'Cost Product'!A$1:C$21,3,FALSE),0)</f>
        <v>15</v>
      </c>
      <c r="R877" s="1">
        <f t="shared" si="83"/>
        <v>11.25</v>
      </c>
    </row>
    <row r="878" spans="1:18" x14ac:dyDescent="0.25">
      <c r="A878" s="1" t="s">
        <v>1791</v>
      </c>
      <c r="B878" t="s">
        <v>1792</v>
      </c>
      <c r="C878" t="s">
        <v>22</v>
      </c>
      <c r="D878" t="s">
        <v>56</v>
      </c>
      <c r="E878" s="4">
        <v>45358</v>
      </c>
      <c r="F878" s="4">
        <v>45362</v>
      </c>
      <c r="G878" s="1">
        <v>5</v>
      </c>
      <c r="H878" s="1">
        <v>8.75</v>
      </c>
      <c r="I878" t="s">
        <v>40</v>
      </c>
      <c r="J878" t="s">
        <v>2141</v>
      </c>
      <c r="K878" t="s">
        <v>28</v>
      </c>
      <c r="L878" s="1" t="str">
        <f t="shared" si="78"/>
        <v>2024</v>
      </c>
      <c r="M878" t="str">
        <f t="shared" si="79"/>
        <v>Mar</v>
      </c>
      <c r="N878" t="str">
        <f t="shared" si="80"/>
        <v>Thu</v>
      </c>
      <c r="O878" s="1">
        <f t="shared" si="81"/>
        <v>4</v>
      </c>
      <c r="P878" s="1">
        <f t="shared" si="82"/>
        <v>43.75</v>
      </c>
      <c r="Q878" s="1">
        <f>ROUND(G878*H878*VLOOKUP(D878,'Cost Product'!A$1:C$21,3,FALSE),0)</f>
        <v>25</v>
      </c>
      <c r="R878" s="1">
        <f t="shared" si="83"/>
        <v>18.75</v>
      </c>
    </row>
    <row r="879" spans="1:18" x14ac:dyDescent="0.25">
      <c r="A879" s="1" t="s">
        <v>1793</v>
      </c>
      <c r="B879" t="s">
        <v>1794</v>
      </c>
      <c r="C879" t="s">
        <v>17</v>
      </c>
      <c r="D879" t="s">
        <v>53</v>
      </c>
      <c r="E879" s="4">
        <v>45484</v>
      </c>
      <c r="F879" s="4">
        <v>45495</v>
      </c>
      <c r="G879" s="1">
        <v>4</v>
      </c>
      <c r="H879" s="1">
        <v>4.75</v>
      </c>
      <c r="I879" t="s">
        <v>13</v>
      </c>
      <c r="J879" t="s">
        <v>2141</v>
      </c>
      <c r="K879" t="s">
        <v>28</v>
      </c>
      <c r="L879" s="1" t="str">
        <f t="shared" si="78"/>
        <v>2024</v>
      </c>
      <c r="M879" t="str">
        <f t="shared" si="79"/>
        <v>Jul</v>
      </c>
      <c r="N879" t="str">
        <f t="shared" si="80"/>
        <v>Thu</v>
      </c>
      <c r="O879" s="1">
        <f t="shared" si="81"/>
        <v>11</v>
      </c>
      <c r="P879" s="1">
        <f t="shared" si="82"/>
        <v>19</v>
      </c>
      <c r="Q879" s="1">
        <f>ROUND(G879*H879*VLOOKUP(D879,'Cost Product'!A$1:C$21,3,FALSE),0)</f>
        <v>10</v>
      </c>
      <c r="R879" s="1">
        <f t="shared" si="83"/>
        <v>9</v>
      </c>
    </row>
    <row r="880" spans="1:18" x14ac:dyDescent="0.25">
      <c r="A880" s="1" t="s">
        <v>1795</v>
      </c>
      <c r="B880" t="s">
        <v>1796</v>
      </c>
      <c r="C880" t="s">
        <v>26</v>
      </c>
      <c r="D880" t="s">
        <v>104</v>
      </c>
      <c r="E880" s="4">
        <v>45228</v>
      </c>
      <c r="F880" s="4">
        <v>45231</v>
      </c>
      <c r="G880" s="1">
        <v>3</v>
      </c>
      <c r="H880" s="1">
        <v>4.5</v>
      </c>
      <c r="I880" t="s">
        <v>13</v>
      </c>
      <c r="J880" t="s">
        <v>2141</v>
      </c>
      <c r="K880" t="s">
        <v>28</v>
      </c>
      <c r="L880" s="1" t="str">
        <f t="shared" si="78"/>
        <v>2023</v>
      </c>
      <c r="M880" t="str">
        <f t="shared" si="79"/>
        <v>Oct</v>
      </c>
      <c r="N880" t="str">
        <f t="shared" si="80"/>
        <v>Sun</v>
      </c>
      <c r="O880" s="1">
        <f t="shared" si="81"/>
        <v>3</v>
      </c>
      <c r="P880" s="1">
        <f t="shared" si="82"/>
        <v>13.5</v>
      </c>
      <c r="Q880" s="1">
        <f>ROUND(G880*H880*VLOOKUP(D880,'Cost Product'!A$1:C$21,3,FALSE),0)</f>
        <v>7</v>
      </c>
      <c r="R880" s="1">
        <f t="shared" si="83"/>
        <v>6.5</v>
      </c>
    </row>
    <row r="881" spans="1:18" x14ac:dyDescent="0.25">
      <c r="A881" s="1" t="s">
        <v>1797</v>
      </c>
      <c r="B881" t="s">
        <v>1798</v>
      </c>
      <c r="C881" t="s">
        <v>11</v>
      </c>
      <c r="D881" t="s">
        <v>39</v>
      </c>
      <c r="E881" s="4">
        <v>45411</v>
      </c>
      <c r="F881" s="4">
        <v>45415</v>
      </c>
      <c r="G881" s="1">
        <v>1</v>
      </c>
      <c r="H881" s="1">
        <v>5.75</v>
      </c>
      <c r="I881" t="s">
        <v>13</v>
      </c>
      <c r="J881" t="s">
        <v>2141</v>
      </c>
      <c r="K881" t="s">
        <v>28</v>
      </c>
      <c r="L881" s="1" t="str">
        <f t="shared" si="78"/>
        <v>2024</v>
      </c>
      <c r="M881" t="str">
        <f t="shared" si="79"/>
        <v>Apr</v>
      </c>
      <c r="N881" t="str">
        <f t="shared" si="80"/>
        <v>Mon</v>
      </c>
      <c r="O881" s="1">
        <f t="shared" si="81"/>
        <v>4</v>
      </c>
      <c r="P881" s="1">
        <f t="shared" si="82"/>
        <v>5.75</v>
      </c>
      <c r="Q881" s="1">
        <f>ROUND(G881*H881*VLOOKUP(D881,'Cost Product'!A$1:C$21,3,FALSE),0)</f>
        <v>3</v>
      </c>
      <c r="R881" s="1">
        <f t="shared" si="83"/>
        <v>2.75</v>
      </c>
    </row>
    <row r="882" spans="1:18" x14ac:dyDescent="0.25">
      <c r="A882" s="1" t="s">
        <v>1799</v>
      </c>
      <c r="B882" t="s">
        <v>1800</v>
      </c>
      <c r="C882" t="s">
        <v>22</v>
      </c>
      <c r="D882" t="s">
        <v>62</v>
      </c>
      <c r="E882" s="4">
        <v>45287</v>
      </c>
      <c r="F882" s="4">
        <v>45288</v>
      </c>
      <c r="G882" s="1">
        <v>4</v>
      </c>
      <c r="H882" s="1">
        <v>8</v>
      </c>
      <c r="I882" t="s">
        <v>13</v>
      </c>
      <c r="J882" t="s">
        <v>2141</v>
      </c>
      <c r="K882" t="s">
        <v>14</v>
      </c>
      <c r="L882" s="1" t="str">
        <f t="shared" si="78"/>
        <v>2023</v>
      </c>
      <c r="M882" t="str">
        <f t="shared" si="79"/>
        <v>Dec</v>
      </c>
      <c r="N882" t="str">
        <f t="shared" si="80"/>
        <v>Wed</v>
      </c>
      <c r="O882" s="1">
        <f t="shared" si="81"/>
        <v>1</v>
      </c>
      <c r="P882" s="1">
        <f t="shared" si="82"/>
        <v>32</v>
      </c>
      <c r="Q882" s="1">
        <f>ROUND(G882*H882*VLOOKUP(D882,'Cost Product'!A$1:C$21,3,FALSE),0)</f>
        <v>19</v>
      </c>
      <c r="R882" s="1">
        <f t="shared" si="83"/>
        <v>13</v>
      </c>
    </row>
    <row r="883" spans="1:18" x14ac:dyDescent="0.25">
      <c r="A883" s="1" t="s">
        <v>1801</v>
      </c>
      <c r="B883" t="s">
        <v>1802</v>
      </c>
      <c r="C883" t="s">
        <v>65</v>
      </c>
      <c r="D883" t="s">
        <v>120</v>
      </c>
      <c r="E883" s="4">
        <v>45190</v>
      </c>
      <c r="F883" s="4">
        <v>45192</v>
      </c>
      <c r="G883" s="1">
        <v>3</v>
      </c>
      <c r="H883" s="1">
        <v>3.75</v>
      </c>
      <c r="I883" t="s">
        <v>40</v>
      </c>
      <c r="J883" t="s">
        <v>2141</v>
      </c>
      <c r="K883" t="s">
        <v>14</v>
      </c>
      <c r="L883" s="1" t="str">
        <f t="shared" si="78"/>
        <v>2023</v>
      </c>
      <c r="M883" t="str">
        <f t="shared" si="79"/>
        <v>Sep</v>
      </c>
      <c r="N883" t="str">
        <f t="shared" si="80"/>
        <v>Thu</v>
      </c>
      <c r="O883" s="1">
        <f t="shared" si="81"/>
        <v>2</v>
      </c>
      <c r="P883" s="1">
        <f t="shared" si="82"/>
        <v>11.25</v>
      </c>
      <c r="Q883" s="1">
        <f>ROUND(G883*H883*VLOOKUP(D883,'Cost Product'!A$1:C$21,3,FALSE),0)</f>
        <v>6</v>
      </c>
      <c r="R883" s="1">
        <f t="shared" si="83"/>
        <v>5.25</v>
      </c>
    </row>
    <row r="884" spans="1:18" x14ac:dyDescent="0.25">
      <c r="A884" s="1" t="s">
        <v>1803</v>
      </c>
      <c r="B884" t="s">
        <v>1804</v>
      </c>
      <c r="C884" t="s">
        <v>26</v>
      </c>
      <c r="D884" t="s">
        <v>104</v>
      </c>
      <c r="E884" s="4">
        <v>45303</v>
      </c>
      <c r="F884" s="4">
        <v>45305</v>
      </c>
      <c r="G884" s="1">
        <v>3</v>
      </c>
      <c r="H884" s="1">
        <v>4.5</v>
      </c>
      <c r="I884" t="s">
        <v>13</v>
      </c>
      <c r="J884" t="s">
        <v>2145</v>
      </c>
      <c r="K884" t="s">
        <v>19</v>
      </c>
      <c r="L884" s="1" t="str">
        <f t="shared" si="78"/>
        <v>2024</v>
      </c>
      <c r="M884" t="str">
        <f t="shared" si="79"/>
        <v>Jan</v>
      </c>
      <c r="N884" t="str">
        <f t="shared" si="80"/>
        <v>Fri</v>
      </c>
      <c r="O884" s="1">
        <f t="shared" si="81"/>
        <v>2</v>
      </c>
      <c r="P884" s="1">
        <f t="shared" si="82"/>
        <v>13.5</v>
      </c>
      <c r="Q884" s="1">
        <f>ROUND(G884*H884*VLOOKUP(D884,'Cost Product'!A$1:C$21,3,FALSE),0)</f>
        <v>7</v>
      </c>
      <c r="R884" s="1">
        <f t="shared" si="83"/>
        <v>6.5</v>
      </c>
    </row>
    <row r="885" spans="1:18" x14ac:dyDescent="0.25">
      <c r="A885" s="1" t="s">
        <v>1805</v>
      </c>
      <c r="B885" t="s">
        <v>1806</v>
      </c>
      <c r="C885" t="s">
        <v>17</v>
      </c>
      <c r="D885" s="3" t="s">
        <v>53</v>
      </c>
      <c r="E885" s="4">
        <v>45227</v>
      </c>
      <c r="F885" s="4">
        <v>45228</v>
      </c>
      <c r="G885" s="1">
        <v>5</v>
      </c>
      <c r="H885" s="1">
        <f>VLOOKUP(D885, 'Cost Product'!$A$2:$C$21, 2, FALSE)</f>
        <v>4.75</v>
      </c>
      <c r="I885" t="s">
        <v>13</v>
      </c>
      <c r="J885" t="s">
        <v>2142</v>
      </c>
      <c r="K885" t="s">
        <v>28</v>
      </c>
      <c r="L885" s="1" t="str">
        <f t="shared" si="78"/>
        <v>2023</v>
      </c>
      <c r="M885" t="str">
        <f t="shared" si="79"/>
        <v>Oct</v>
      </c>
      <c r="N885" t="str">
        <f t="shared" si="80"/>
        <v>Sat</v>
      </c>
      <c r="O885" s="1">
        <f t="shared" si="81"/>
        <v>1</v>
      </c>
      <c r="P885" s="1">
        <f t="shared" si="82"/>
        <v>23.75</v>
      </c>
      <c r="Q885" s="1">
        <f>ROUND(G885*H885*VLOOKUP(D885,'Cost Product'!A$1:C$21,3,FALSE),0)</f>
        <v>13</v>
      </c>
      <c r="R885" s="1">
        <f t="shared" si="83"/>
        <v>10.75</v>
      </c>
    </row>
    <row r="886" spans="1:18" x14ac:dyDescent="0.25">
      <c r="A886" s="1" t="s">
        <v>1807</v>
      </c>
      <c r="B886" t="s">
        <v>1808</v>
      </c>
      <c r="C886" t="s">
        <v>65</v>
      </c>
      <c r="D886" t="s">
        <v>115</v>
      </c>
      <c r="E886" s="4">
        <v>45562</v>
      </c>
      <c r="F886" s="4">
        <v>45565</v>
      </c>
      <c r="G886" s="1">
        <v>1</v>
      </c>
      <c r="H886" s="1">
        <v>3</v>
      </c>
      <c r="I886" t="s">
        <v>13</v>
      </c>
      <c r="J886" t="s">
        <v>2141</v>
      </c>
      <c r="K886" t="s">
        <v>28</v>
      </c>
      <c r="L886" s="1" t="str">
        <f t="shared" si="78"/>
        <v>2024</v>
      </c>
      <c r="M886" t="str">
        <f t="shared" si="79"/>
        <v>Sep</v>
      </c>
      <c r="N886" t="str">
        <f t="shared" si="80"/>
        <v>Fri</v>
      </c>
      <c r="O886" s="1">
        <f t="shared" si="81"/>
        <v>3</v>
      </c>
      <c r="P886" s="1">
        <f t="shared" si="82"/>
        <v>3</v>
      </c>
      <c r="Q886" s="1">
        <f>ROUND(G886*H886*VLOOKUP(D886,'Cost Product'!A$1:C$21,3,FALSE),0)</f>
        <v>1</v>
      </c>
      <c r="R886" s="1">
        <f t="shared" si="83"/>
        <v>2</v>
      </c>
    </row>
    <row r="887" spans="1:18" x14ac:dyDescent="0.25">
      <c r="A887" s="1" t="s">
        <v>1809</v>
      </c>
      <c r="B887" t="s">
        <v>1810</v>
      </c>
      <c r="C887" t="s">
        <v>17</v>
      </c>
      <c r="D887" t="s">
        <v>50</v>
      </c>
      <c r="E887" s="4">
        <v>45400</v>
      </c>
      <c r="F887" s="4">
        <v>45401</v>
      </c>
      <c r="G887" s="1">
        <v>1</v>
      </c>
      <c r="H887" s="1">
        <v>5.25</v>
      </c>
      <c r="I887" t="s">
        <v>40</v>
      </c>
      <c r="J887" t="s">
        <v>2141</v>
      </c>
      <c r="K887" t="s">
        <v>28</v>
      </c>
      <c r="L887" s="1" t="str">
        <f t="shared" si="78"/>
        <v>2024</v>
      </c>
      <c r="M887" t="str">
        <f t="shared" si="79"/>
        <v>Apr</v>
      </c>
      <c r="N887" t="str">
        <f t="shared" si="80"/>
        <v>Thu</v>
      </c>
      <c r="O887" s="1">
        <f t="shared" si="81"/>
        <v>1</v>
      </c>
      <c r="P887" s="1">
        <f t="shared" si="82"/>
        <v>5.25</v>
      </c>
      <c r="Q887" s="1">
        <f>ROUND(G887*H887*VLOOKUP(D887,'Cost Product'!A$1:C$21,3,FALSE),0)</f>
        <v>3</v>
      </c>
      <c r="R887" s="1">
        <f t="shared" si="83"/>
        <v>2.25</v>
      </c>
    </row>
    <row r="888" spans="1:18" x14ac:dyDescent="0.25">
      <c r="A888" s="1" t="s">
        <v>1811</v>
      </c>
      <c r="B888" t="s">
        <v>1812</v>
      </c>
      <c r="C888" t="s">
        <v>65</v>
      </c>
      <c r="D888" t="s">
        <v>115</v>
      </c>
      <c r="E888" s="4">
        <v>45568</v>
      </c>
      <c r="F888" s="4">
        <v>45573</v>
      </c>
      <c r="G888" s="1">
        <v>4</v>
      </c>
      <c r="H888" s="1">
        <v>3</v>
      </c>
      <c r="I888" t="s">
        <v>13</v>
      </c>
      <c r="J888" t="s">
        <v>2145</v>
      </c>
      <c r="K888" t="s">
        <v>28</v>
      </c>
      <c r="L888" s="1" t="str">
        <f t="shared" si="78"/>
        <v>2024</v>
      </c>
      <c r="M888" t="str">
        <f t="shared" si="79"/>
        <v>Oct</v>
      </c>
      <c r="N888" t="str">
        <f t="shared" si="80"/>
        <v>Thu</v>
      </c>
      <c r="O888" s="1">
        <f t="shared" si="81"/>
        <v>5</v>
      </c>
      <c r="P888" s="1">
        <f t="shared" si="82"/>
        <v>12</v>
      </c>
      <c r="Q888" s="1">
        <f>ROUND(G888*H888*VLOOKUP(D888,'Cost Product'!A$1:C$21,3,FALSE),0)</f>
        <v>6</v>
      </c>
      <c r="R888" s="1">
        <f t="shared" si="83"/>
        <v>6</v>
      </c>
    </row>
    <row r="889" spans="1:18" x14ac:dyDescent="0.25">
      <c r="A889" s="1" t="s">
        <v>1813</v>
      </c>
      <c r="B889" t="s">
        <v>1814</v>
      </c>
      <c r="C889" t="s">
        <v>22</v>
      </c>
      <c r="D889" s="3" t="s">
        <v>62</v>
      </c>
      <c r="E889" s="4">
        <v>45168</v>
      </c>
      <c r="F889" s="4">
        <v>45170</v>
      </c>
      <c r="G889" s="1">
        <v>5</v>
      </c>
      <c r="H889" s="1">
        <f>VLOOKUP(D889, 'Cost Product'!$A$2:$C$21, 2, FALSE)</f>
        <v>8</v>
      </c>
      <c r="I889" t="s">
        <v>13</v>
      </c>
      <c r="J889" t="s">
        <v>2141</v>
      </c>
      <c r="K889" t="s">
        <v>28</v>
      </c>
      <c r="L889" s="1" t="str">
        <f t="shared" si="78"/>
        <v>2023</v>
      </c>
      <c r="M889" t="str">
        <f t="shared" si="79"/>
        <v>Aug</v>
      </c>
      <c r="N889" t="str">
        <f t="shared" si="80"/>
        <v>Wed</v>
      </c>
      <c r="O889" s="1">
        <f t="shared" si="81"/>
        <v>2</v>
      </c>
      <c r="P889" s="1">
        <f t="shared" si="82"/>
        <v>40</v>
      </c>
      <c r="Q889" s="1">
        <f>ROUND(G889*H889*VLOOKUP(D889,'Cost Product'!A$1:C$21,3,FALSE),0)</f>
        <v>23</v>
      </c>
      <c r="R889" s="1">
        <f t="shared" si="83"/>
        <v>17</v>
      </c>
    </row>
    <row r="890" spans="1:18" x14ac:dyDescent="0.25">
      <c r="A890" s="1" t="s">
        <v>1815</v>
      </c>
      <c r="B890" t="s">
        <v>1816</v>
      </c>
      <c r="C890" t="s">
        <v>22</v>
      </c>
      <c r="D890" t="s">
        <v>23</v>
      </c>
      <c r="E890" s="4">
        <v>45414</v>
      </c>
      <c r="F890" s="4">
        <v>45421</v>
      </c>
      <c r="G890" s="1">
        <v>1</v>
      </c>
      <c r="H890" s="1">
        <v>10</v>
      </c>
      <c r="I890" t="s">
        <v>13</v>
      </c>
      <c r="J890" t="s">
        <v>2145</v>
      </c>
      <c r="K890" t="s">
        <v>14</v>
      </c>
      <c r="L890" s="1" t="str">
        <f t="shared" si="78"/>
        <v>2024</v>
      </c>
      <c r="M890" t="str">
        <f t="shared" si="79"/>
        <v>May</v>
      </c>
      <c r="N890" t="str">
        <f t="shared" si="80"/>
        <v>Thu</v>
      </c>
      <c r="O890" s="1">
        <f t="shared" si="81"/>
        <v>7</v>
      </c>
      <c r="P890" s="1">
        <f t="shared" si="82"/>
        <v>10</v>
      </c>
      <c r="Q890" s="1">
        <f>ROUND(G890*H890*VLOOKUP(D890,'Cost Product'!A$1:C$21,3,FALSE),0)</f>
        <v>7</v>
      </c>
      <c r="R890" s="1">
        <f t="shared" si="83"/>
        <v>3</v>
      </c>
    </row>
    <row r="891" spans="1:18" x14ac:dyDescent="0.25">
      <c r="A891" s="1" t="s">
        <v>1817</v>
      </c>
      <c r="B891" t="s">
        <v>1818</v>
      </c>
      <c r="C891" t="s">
        <v>22</v>
      </c>
      <c r="D891" t="s">
        <v>59</v>
      </c>
      <c r="E891" s="4">
        <v>45468</v>
      </c>
      <c r="F891" s="4">
        <v>45473</v>
      </c>
      <c r="G891" s="1">
        <v>1</v>
      </c>
      <c r="H891" s="1">
        <v>8.5</v>
      </c>
      <c r="I891" t="s">
        <v>40</v>
      </c>
      <c r="J891" t="s">
        <v>2142</v>
      </c>
      <c r="K891" t="s">
        <v>28</v>
      </c>
      <c r="L891" s="1" t="str">
        <f t="shared" si="78"/>
        <v>2024</v>
      </c>
      <c r="M891" t="str">
        <f t="shared" si="79"/>
        <v>Jun</v>
      </c>
      <c r="N891" t="str">
        <f t="shared" si="80"/>
        <v>Tue</v>
      </c>
      <c r="O891" s="1">
        <f t="shared" si="81"/>
        <v>5</v>
      </c>
      <c r="P891" s="1">
        <f t="shared" si="82"/>
        <v>8.5</v>
      </c>
      <c r="Q891" s="1">
        <f>ROUND(G891*H891*VLOOKUP(D891,'Cost Product'!A$1:C$21,3,FALSE),0)</f>
        <v>5</v>
      </c>
      <c r="R891" s="1">
        <f t="shared" si="83"/>
        <v>3.5</v>
      </c>
    </row>
    <row r="892" spans="1:18" x14ac:dyDescent="0.25">
      <c r="A892" s="1" t="s">
        <v>1819</v>
      </c>
      <c r="B892" t="s">
        <v>1820</v>
      </c>
      <c r="C892" t="s">
        <v>17</v>
      </c>
      <c r="D892" t="s">
        <v>50</v>
      </c>
      <c r="E892" s="4">
        <v>45129</v>
      </c>
      <c r="F892" s="4">
        <v>45132</v>
      </c>
      <c r="G892" s="1">
        <v>5</v>
      </c>
      <c r="H892" s="1">
        <v>5.25</v>
      </c>
      <c r="I892" t="s">
        <v>13</v>
      </c>
      <c r="J892" t="s">
        <v>2142</v>
      </c>
      <c r="K892" t="s">
        <v>19</v>
      </c>
      <c r="L892" s="1" t="str">
        <f t="shared" si="78"/>
        <v>2023</v>
      </c>
      <c r="M892" t="str">
        <f t="shared" si="79"/>
        <v>Jul</v>
      </c>
      <c r="N892" t="str">
        <f t="shared" si="80"/>
        <v>Sat</v>
      </c>
      <c r="O892" s="1">
        <f t="shared" si="81"/>
        <v>3</v>
      </c>
      <c r="P892" s="1">
        <f t="shared" si="82"/>
        <v>26.25</v>
      </c>
      <c r="Q892" s="1">
        <f>ROUND(G892*H892*VLOOKUP(D892,'Cost Product'!A$1:C$21,3,FALSE),0)</f>
        <v>15</v>
      </c>
      <c r="R892" s="1">
        <f t="shared" si="83"/>
        <v>11.25</v>
      </c>
    </row>
    <row r="893" spans="1:18" x14ac:dyDescent="0.25">
      <c r="A893" s="1" t="s">
        <v>1821</v>
      </c>
      <c r="B893" t="s">
        <v>1822</v>
      </c>
      <c r="C893" t="s">
        <v>65</v>
      </c>
      <c r="D893" s="3" t="s">
        <v>120</v>
      </c>
      <c r="E893" s="4">
        <v>45372</v>
      </c>
      <c r="F893" s="4">
        <v>45374</v>
      </c>
      <c r="G893" s="1">
        <v>1</v>
      </c>
      <c r="H893" s="1">
        <f>VLOOKUP(D893, 'Cost Product'!$A$2:$C$21, 2, FALSE)</f>
        <v>3.75</v>
      </c>
      <c r="I893" t="s">
        <v>13</v>
      </c>
      <c r="J893" t="s">
        <v>2145</v>
      </c>
      <c r="K893" t="s">
        <v>28</v>
      </c>
      <c r="L893" s="1" t="str">
        <f t="shared" si="78"/>
        <v>2024</v>
      </c>
      <c r="M893" t="str">
        <f t="shared" si="79"/>
        <v>Mar</v>
      </c>
      <c r="N893" t="str">
        <f t="shared" si="80"/>
        <v>Thu</v>
      </c>
      <c r="O893" s="1">
        <f t="shared" si="81"/>
        <v>2</v>
      </c>
      <c r="P893" s="1">
        <f t="shared" si="82"/>
        <v>3.75</v>
      </c>
      <c r="Q893" s="1">
        <f>ROUND(G893*H893*VLOOKUP(D893,'Cost Product'!A$1:C$21,3,FALSE),0)</f>
        <v>2</v>
      </c>
      <c r="R893" s="1">
        <f t="shared" si="83"/>
        <v>1.75</v>
      </c>
    </row>
    <row r="894" spans="1:18" x14ac:dyDescent="0.25">
      <c r="A894" s="1" t="s">
        <v>1823</v>
      </c>
      <c r="B894" t="s">
        <v>1824</v>
      </c>
      <c r="C894" t="s">
        <v>26</v>
      </c>
      <c r="D894" t="s">
        <v>104</v>
      </c>
      <c r="E894" s="4">
        <v>45499</v>
      </c>
      <c r="F894" s="4">
        <v>45500</v>
      </c>
      <c r="G894" s="1">
        <v>5</v>
      </c>
      <c r="H894" s="1">
        <v>4.5</v>
      </c>
      <c r="I894" t="s">
        <v>13</v>
      </c>
      <c r="J894" t="s">
        <v>2141</v>
      </c>
      <c r="K894" t="s">
        <v>28</v>
      </c>
      <c r="L894" s="1" t="str">
        <f t="shared" si="78"/>
        <v>2024</v>
      </c>
      <c r="M894" t="str">
        <f t="shared" si="79"/>
        <v>Jul</v>
      </c>
      <c r="N894" t="str">
        <f t="shared" si="80"/>
        <v>Fri</v>
      </c>
      <c r="O894" s="1">
        <f t="shared" si="81"/>
        <v>1</v>
      </c>
      <c r="P894" s="1">
        <f t="shared" si="82"/>
        <v>22.5</v>
      </c>
      <c r="Q894" s="1">
        <f>ROUND(G894*H894*VLOOKUP(D894,'Cost Product'!A$1:C$21,3,FALSE),0)</f>
        <v>11</v>
      </c>
      <c r="R894" s="1">
        <f t="shared" si="83"/>
        <v>11.5</v>
      </c>
    </row>
    <row r="895" spans="1:18" x14ac:dyDescent="0.25">
      <c r="A895" s="1" t="s">
        <v>1825</v>
      </c>
      <c r="B895" t="s">
        <v>1826</v>
      </c>
      <c r="C895" t="s">
        <v>11</v>
      </c>
      <c r="D895" t="s">
        <v>31</v>
      </c>
      <c r="E895" s="4">
        <v>45376</v>
      </c>
      <c r="F895" s="4">
        <v>45379</v>
      </c>
      <c r="G895" s="1">
        <v>1</v>
      </c>
      <c r="H895" s="1">
        <v>5.5</v>
      </c>
      <c r="I895" t="s">
        <v>13</v>
      </c>
      <c r="J895" t="s">
        <v>2145</v>
      </c>
      <c r="K895" t="s">
        <v>28</v>
      </c>
      <c r="L895" s="1" t="str">
        <f t="shared" si="78"/>
        <v>2024</v>
      </c>
      <c r="M895" t="str">
        <f t="shared" si="79"/>
        <v>Mar</v>
      </c>
      <c r="N895" t="str">
        <f t="shared" si="80"/>
        <v>Mon</v>
      </c>
      <c r="O895" s="1">
        <f t="shared" si="81"/>
        <v>3</v>
      </c>
      <c r="P895" s="1">
        <f t="shared" si="82"/>
        <v>5.5</v>
      </c>
      <c r="Q895" s="1">
        <f>ROUND(G895*H895*VLOOKUP(D895,'Cost Product'!A$1:C$21,3,FALSE),0)</f>
        <v>3</v>
      </c>
      <c r="R895" s="1">
        <f t="shared" si="83"/>
        <v>2.5</v>
      </c>
    </row>
    <row r="896" spans="1:18" x14ac:dyDescent="0.25">
      <c r="A896" s="1" t="s">
        <v>1827</v>
      </c>
      <c r="B896" t="s">
        <v>1828</v>
      </c>
      <c r="C896" t="s">
        <v>17</v>
      </c>
      <c r="D896" t="s">
        <v>18</v>
      </c>
      <c r="E896" s="4">
        <v>45162</v>
      </c>
      <c r="F896" s="4">
        <v>45165</v>
      </c>
      <c r="G896" s="1">
        <v>2</v>
      </c>
      <c r="H896" s="1">
        <v>5.5</v>
      </c>
      <c r="I896" t="s">
        <v>13</v>
      </c>
      <c r="J896" t="s">
        <v>2142</v>
      </c>
      <c r="K896" t="s">
        <v>19</v>
      </c>
      <c r="L896" s="1" t="str">
        <f t="shared" si="78"/>
        <v>2023</v>
      </c>
      <c r="M896" t="str">
        <f t="shared" si="79"/>
        <v>Aug</v>
      </c>
      <c r="N896" t="str">
        <f t="shared" si="80"/>
        <v>Thu</v>
      </c>
      <c r="O896" s="1">
        <f t="shared" si="81"/>
        <v>3</v>
      </c>
      <c r="P896" s="1">
        <f t="shared" si="82"/>
        <v>11</v>
      </c>
      <c r="Q896" s="1">
        <f>ROUND(G896*H896*VLOOKUP(D896,'Cost Product'!A$1:C$21,3,FALSE),0)</f>
        <v>7</v>
      </c>
      <c r="R896" s="1">
        <f t="shared" si="83"/>
        <v>4</v>
      </c>
    </row>
    <row r="897" spans="1:18" x14ac:dyDescent="0.25">
      <c r="A897" s="1" t="s">
        <v>1829</v>
      </c>
      <c r="B897" t="s">
        <v>1830</v>
      </c>
      <c r="C897" t="s">
        <v>65</v>
      </c>
      <c r="D897" s="3" t="s">
        <v>66</v>
      </c>
      <c r="E897" s="4">
        <v>45174</v>
      </c>
      <c r="F897" s="4">
        <v>45184</v>
      </c>
      <c r="G897" s="1">
        <v>3</v>
      </c>
      <c r="H897" s="1">
        <f>VLOOKUP(D897, 'Cost Product'!$A$2:$C$21, 2, FALSE)</f>
        <v>3.5</v>
      </c>
      <c r="I897" t="s">
        <v>13</v>
      </c>
      <c r="J897" t="s">
        <v>2141</v>
      </c>
      <c r="K897" t="s">
        <v>28</v>
      </c>
      <c r="L897" s="1" t="str">
        <f t="shared" si="78"/>
        <v>2023</v>
      </c>
      <c r="M897" t="str">
        <f t="shared" si="79"/>
        <v>Sep</v>
      </c>
      <c r="N897" t="str">
        <f t="shared" si="80"/>
        <v>Tue</v>
      </c>
      <c r="O897" s="1">
        <f t="shared" si="81"/>
        <v>10</v>
      </c>
      <c r="P897" s="1">
        <f t="shared" si="82"/>
        <v>10.5</v>
      </c>
      <c r="Q897" s="1">
        <f>ROUND(G897*H897*VLOOKUP(D897,'Cost Product'!A$1:C$21,3,FALSE),0)</f>
        <v>5</v>
      </c>
      <c r="R897" s="1">
        <f t="shared" si="83"/>
        <v>5.5</v>
      </c>
    </row>
    <row r="898" spans="1:18" x14ac:dyDescent="0.25">
      <c r="A898" s="1" t="s">
        <v>1831</v>
      </c>
      <c r="B898" t="s">
        <v>1832</v>
      </c>
      <c r="C898" t="s">
        <v>26</v>
      </c>
      <c r="D898" t="s">
        <v>27</v>
      </c>
      <c r="E898" s="4">
        <v>45406</v>
      </c>
      <c r="F898" s="4">
        <v>45408</v>
      </c>
      <c r="G898" s="1">
        <v>3</v>
      </c>
      <c r="H898" s="1">
        <v>4.75</v>
      </c>
      <c r="I898" t="s">
        <v>13</v>
      </c>
      <c r="J898" t="s">
        <v>2145</v>
      </c>
      <c r="K898" t="s">
        <v>14</v>
      </c>
      <c r="L898" s="1" t="str">
        <f t="shared" si="78"/>
        <v>2024</v>
      </c>
      <c r="M898" t="str">
        <f t="shared" si="79"/>
        <v>Apr</v>
      </c>
      <c r="N898" t="str">
        <f t="shared" si="80"/>
        <v>Wed</v>
      </c>
      <c r="O898" s="1">
        <f t="shared" si="81"/>
        <v>2</v>
      </c>
      <c r="P898" s="1">
        <f t="shared" si="82"/>
        <v>14.25</v>
      </c>
      <c r="Q898" s="1">
        <f>ROUND(G898*H898*VLOOKUP(D898,'Cost Product'!A$1:C$21,3,FALSE),0)</f>
        <v>8</v>
      </c>
      <c r="R898" s="1">
        <f t="shared" si="83"/>
        <v>6.25</v>
      </c>
    </row>
    <row r="899" spans="1:18" x14ac:dyDescent="0.25">
      <c r="A899" s="1" t="s">
        <v>1833</v>
      </c>
      <c r="B899" t="s">
        <v>1834</v>
      </c>
      <c r="C899" t="s">
        <v>65</v>
      </c>
      <c r="D899" t="s">
        <v>120</v>
      </c>
      <c r="E899" s="4">
        <v>45590</v>
      </c>
      <c r="F899" s="4">
        <v>45593</v>
      </c>
      <c r="G899" s="1">
        <v>2</v>
      </c>
      <c r="H899" s="1">
        <v>3.75</v>
      </c>
      <c r="I899" t="s">
        <v>13</v>
      </c>
      <c r="J899" t="s">
        <v>2141</v>
      </c>
      <c r="K899" t="s">
        <v>19</v>
      </c>
      <c r="L899" s="1" t="str">
        <f t="shared" ref="L899:L962" si="84">TEXT(E899, "YYYY")</f>
        <v>2024</v>
      </c>
      <c r="M899" t="str">
        <f t="shared" ref="M899:M962" si="85">TEXT(E899, "MMM")</f>
        <v>Oct</v>
      </c>
      <c r="N899" t="str">
        <f t="shared" ref="N899:N962" si="86">TEXT(E899, "DDD")</f>
        <v>Fri</v>
      </c>
      <c r="O899" s="1">
        <f t="shared" ref="O899:O962" si="87">DATEDIF(E899, F899, "D")</f>
        <v>3</v>
      </c>
      <c r="P899" s="1">
        <f t="shared" ref="P899:P962" si="88">G899*H899</f>
        <v>7.5</v>
      </c>
      <c r="Q899" s="1">
        <f>ROUND(G899*H899*VLOOKUP(D899,'Cost Product'!A$1:C$21,3,FALSE),0)</f>
        <v>4</v>
      </c>
      <c r="R899" s="1">
        <f t="shared" ref="R899:R962" si="89">P899-Q899</f>
        <v>3.5</v>
      </c>
    </row>
    <row r="900" spans="1:18" x14ac:dyDescent="0.25">
      <c r="A900" s="1" t="s">
        <v>1835</v>
      </c>
      <c r="B900" t="s">
        <v>1836</v>
      </c>
      <c r="C900" t="s">
        <v>11</v>
      </c>
      <c r="D900" t="s">
        <v>36</v>
      </c>
      <c r="E900" s="4">
        <v>45363</v>
      </c>
      <c r="F900" s="4">
        <v>45367</v>
      </c>
      <c r="G900" s="1">
        <v>1</v>
      </c>
      <c r="H900" s="1">
        <v>6.25</v>
      </c>
      <c r="I900" t="s">
        <v>13</v>
      </c>
      <c r="J900" t="s">
        <v>2145</v>
      </c>
      <c r="K900" t="s">
        <v>14</v>
      </c>
      <c r="L900" s="1" t="str">
        <f t="shared" si="84"/>
        <v>2024</v>
      </c>
      <c r="M900" t="str">
        <f t="shared" si="85"/>
        <v>Mar</v>
      </c>
      <c r="N900" t="str">
        <f t="shared" si="86"/>
        <v>Tue</v>
      </c>
      <c r="O900" s="1">
        <f t="shared" si="87"/>
        <v>4</v>
      </c>
      <c r="P900" s="1">
        <f t="shared" si="88"/>
        <v>6.25</v>
      </c>
      <c r="Q900" s="1">
        <f>ROUND(G900*H900*VLOOKUP(D900,'Cost Product'!A$1:C$21,3,FALSE),0)</f>
        <v>3</v>
      </c>
      <c r="R900" s="1">
        <f t="shared" si="89"/>
        <v>3.25</v>
      </c>
    </row>
    <row r="901" spans="1:18" x14ac:dyDescent="0.25">
      <c r="A901" s="1" t="s">
        <v>1837</v>
      </c>
      <c r="B901" t="s">
        <v>1838</v>
      </c>
      <c r="C901" t="s">
        <v>65</v>
      </c>
      <c r="D901" s="3" t="s">
        <v>99</v>
      </c>
      <c r="E901" s="4">
        <v>45209</v>
      </c>
      <c r="F901" s="4">
        <v>45211</v>
      </c>
      <c r="G901" s="1">
        <v>4</v>
      </c>
      <c r="H901" s="1">
        <f>VLOOKUP(D901, 'Cost Product'!$A$2:$C$21, 2, FALSE)</f>
        <v>4</v>
      </c>
      <c r="I901" t="s">
        <v>13</v>
      </c>
      <c r="J901" t="s">
        <v>2146</v>
      </c>
      <c r="K901" t="s">
        <v>19</v>
      </c>
      <c r="L901" s="1" t="str">
        <f t="shared" si="84"/>
        <v>2023</v>
      </c>
      <c r="M901" t="str">
        <f t="shared" si="85"/>
        <v>Oct</v>
      </c>
      <c r="N901" t="str">
        <f t="shared" si="86"/>
        <v>Tue</v>
      </c>
      <c r="O901" s="1">
        <f t="shared" si="87"/>
        <v>2</v>
      </c>
      <c r="P901" s="1">
        <f t="shared" si="88"/>
        <v>16</v>
      </c>
      <c r="Q901" s="1">
        <f>ROUND(G901*H901*VLOOKUP(D901,'Cost Product'!A$1:C$21,3,FALSE),0)</f>
        <v>8</v>
      </c>
      <c r="R901" s="1">
        <f t="shared" si="89"/>
        <v>8</v>
      </c>
    </row>
    <row r="902" spans="1:18" x14ac:dyDescent="0.25">
      <c r="A902" s="1" t="s">
        <v>1839</v>
      </c>
      <c r="B902" t="s">
        <v>1840</v>
      </c>
      <c r="C902" t="s">
        <v>11</v>
      </c>
      <c r="D902" t="s">
        <v>39</v>
      </c>
      <c r="E902" s="4">
        <v>45164</v>
      </c>
      <c r="F902" s="4">
        <v>45166</v>
      </c>
      <c r="G902" s="1">
        <v>1</v>
      </c>
      <c r="H902" s="1">
        <v>5.75</v>
      </c>
      <c r="I902" t="s">
        <v>13</v>
      </c>
      <c r="J902" t="s">
        <v>2142</v>
      </c>
      <c r="K902" t="s">
        <v>28</v>
      </c>
      <c r="L902" s="1" t="str">
        <f t="shared" si="84"/>
        <v>2023</v>
      </c>
      <c r="M902" t="str">
        <f t="shared" si="85"/>
        <v>Aug</v>
      </c>
      <c r="N902" t="str">
        <f t="shared" si="86"/>
        <v>Sat</v>
      </c>
      <c r="O902" s="1">
        <f t="shared" si="87"/>
        <v>2</v>
      </c>
      <c r="P902" s="1">
        <f t="shared" si="88"/>
        <v>5.75</v>
      </c>
      <c r="Q902" s="1">
        <f>ROUND(G902*H902*VLOOKUP(D902,'Cost Product'!A$1:C$21,3,FALSE),0)</f>
        <v>3</v>
      </c>
      <c r="R902" s="1">
        <f t="shared" si="89"/>
        <v>2.75</v>
      </c>
    </row>
    <row r="903" spans="1:18" x14ac:dyDescent="0.25">
      <c r="A903" s="1" t="s">
        <v>1841</v>
      </c>
      <c r="B903" t="s">
        <v>1842</v>
      </c>
      <c r="C903" t="s">
        <v>65</v>
      </c>
      <c r="D903" t="s">
        <v>66</v>
      </c>
      <c r="E903" s="4">
        <v>45384</v>
      </c>
      <c r="F903" s="4">
        <v>45385</v>
      </c>
      <c r="G903" s="1">
        <v>2</v>
      </c>
      <c r="H903" s="1">
        <v>3.5</v>
      </c>
      <c r="I903" t="s">
        <v>13</v>
      </c>
      <c r="J903" t="s">
        <v>2141</v>
      </c>
      <c r="K903" t="s">
        <v>28</v>
      </c>
      <c r="L903" s="1" t="str">
        <f t="shared" si="84"/>
        <v>2024</v>
      </c>
      <c r="M903" t="str">
        <f t="shared" si="85"/>
        <v>Apr</v>
      </c>
      <c r="N903" t="str">
        <f t="shared" si="86"/>
        <v>Tue</v>
      </c>
      <c r="O903" s="1">
        <f t="shared" si="87"/>
        <v>1</v>
      </c>
      <c r="P903" s="1">
        <f t="shared" si="88"/>
        <v>7</v>
      </c>
      <c r="Q903" s="1">
        <f>ROUND(G903*H903*VLOOKUP(D903,'Cost Product'!A$1:C$21,3,FALSE),0)</f>
        <v>3</v>
      </c>
      <c r="R903" s="1">
        <f t="shared" si="89"/>
        <v>4</v>
      </c>
    </row>
    <row r="904" spans="1:18" x14ac:dyDescent="0.25">
      <c r="A904" s="1" t="s">
        <v>1843</v>
      </c>
      <c r="B904" t="s">
        <v>1844</v>
      </c>
      <c r="C904" t="s">
        <v>26</v>
      </c>
      <c r="D904" t="s">
        <v>82</v>
      </c>
      <c r="E904" s="4">
        <v>45480</v>
      </c>
      <c r="F904" s="4">
        <v>45486</v>
      </c>
      <c r="G904" s="1">
        <v>4</v>
      </c>
      <c r="H904" s="1">
        <v>4.25</v>
      </c>
      <c r="I904" t="s">
        <v>13</v>
      </c>
      <c r="J904" t="s">
        <v>2141</v>
      </c>
      <c r="K904" t="s">
        <v>14</v>
      </c>
      <c r="L904" s="1" t="str">
        <f t="shared" si="84"/>
        <v>2024</v>
      </c>
      <c r="M904" t="str">
        <f t="shared" si="85"/>
        <v>Jul</v>
      </c>
      <c r="N904" t="str">
        <f t="shared" si="86"/>
        <v>Sun</v>
      </c>
      <c r="O904" s="1">
        <f t="shared" si="87"/>
        <v>6</v>
      </c>
      <c r="P904" s="1">
        <f t="shared" si="88"/>
        <v>17</v>
      </c>
      <c r="Q904" s="1">
        <f>ROUND(G904*H904*VLOOKUP(D904,'Cost Product'!A$1:C$21,3,FALSE),0)</f>
        <v>8</v>
      </c>
      <c r="R904" s="1">
        <f t="shared" si="89"/>
        <v>9</v>
      </c>
    </row>
    <row r="905" spans="1:18" x14ac:dyDescent="0.25">
      <c r="A905" s="1" t="s">
        <v>1845</v>
      </c>
      <c r="B905" t="s">
        <v>1846</v>
      </c>
      <c r="C905" t="s">
        <v>65</v>
      </c>
      <c r="D905" s="3" t="s">
        <v>115</v>
      </c>
      <c r="E905" s="4">
        <v>45510</v>
      </c>
      <c r="F905" s="4">
        <v>45514</v>
      </c>
      <c r="G905" s="1">
        <v>5</v>
      </c>
      <c r="H905" s="1">
        <f>VLOOKUP(D905, 'Cost Product'!$A$2:$C$21, 2, FALSE)</f>
        <v>3</v>
      </c>
      <c r="I905" t="s">
        <v>13</v>
      </c>
      <c r="J905" t="s">
        <v>2141</v>
      </c>
      <c r="K905" t="s">
        <v>28</v>
      </c>
      <c r="L905" s="1" t="str">
        <f t="shared" si="84"/>
        <v>2024</v>
      </c>
      <c r="M905" t="str">
        <f t="shared" si="85"/>
        <v>Aug</v>
      </c>
      <c r="N905" t="str">
        <f t="shared" si="86"/>
        <v>Tue</v>
      </c>
      <c r="O905" s="1">
        <f t="shared" si="87"/>
        <v>4</v>
      </c>
      <c r="P905" s="1">
        <f t="shared" si="88"/>
        <v>15</v>
      </c>
      <c r="Q905" s="1">
        <f>ROUND(G905*H905*VLOOKUP(D905,'Cost Product'!A$1:C$21,3,FALSE),0)</f>
        <v>7</v>
      </c>
      <c r="R905" s="1">
        <f t="shared" si="89"/>
        <v>8</v>
      </c>
    </row>
    <row r="906" spans="1:18" x14ac:dyDescent="0.25">
      <c r="A906" s="1" t="s">
        <v>1847</v>
      </c>
      <c r="B906" t="s">
        <v>1848</v>
      </c>
      <c r="C906" t="s">
        <v>22</v>
      </c>
      <c r="D906" t="s">
        <v>23</v>
      </c>
      <c r="E906" s="4">
        <v>45544</v>
      </c>
      <c r="F906" s="4">
        <v>45551</v>
      </c>
      <c r="G906" s="1">
        <v>5</v>
      </c>
      <c r="H906" s="1">
        <v>10</v>
      </c>
      <c r="I906" t="s">
        <v>13</v>
      </c>
      <c r="J906" t="s">
        <v>2141</v>
      </c>
      <c r="K906" t="s">
        <v>28</v>
      </c>
      <c r="L906" s="1" t="str">
        <f t="shared" si="84"/>
        <v>2024</v>
      </c>
      <c r="M906" t="str">
        <f t="shared" si="85"/>
        <v>Sep</v>
      </c>
      <c r="N906" t="str">
        <f t="shared" si="86"/>
        <v>Mon</v>
      </c>
      <c r="O906" s="1">
        <f t="shared" si="87"/>
        <v>7</v>
      </c>
      <c r="P906" s="1">
        <f t="shared" si="88"/>
        <v>50</v>
      </c>
      <c r="Q906" s="1">
        <f>ROUND(G906*H906*VLOOKUP(D906,'Cost Product'!A$1:C$21,3,FALSE),0)</f>
        <v>33</v>
      </c>
      <c r="R906" s="1">
        <f t="shared" si="89"/>
        <v>17</v>
      </c>
    </row>
    <row r="907" spans="1:18" x14ac:dyDescent="0.25">
      <c r="A907" s="1" t="s">
        <v>1849</v>
      </c>
      <c r="B907" t="s">
        <v>1850</v>
      </c>
      <c r="C907" t="s">
        <v>65</v>
      </c>
      <c r="D907" t="s">
        <v>99</v>
      </c>
      <c r="E907" s="4">
        <v>45384</v>
      </c>
      <c r="F907" s="4">
        <v>45391</v>
      </c>
      <c r="G907" s="1">
        <v>4</v>
      </c>
      <c r="H907" s="1">
        <v>4</v>
      </c>
      <c r="I907" t="s">
        <v>40</v>
      </c>
      <c r="J907" t="s">
        <v>2141</v>
      </c>
      <c r="K907" t="s">
        <v>14</v>
      </c>
      <c r="L907" s="1" t="str">
        <f t="shared" si="84"/>
        <v>2024</v>
      </c>
      <c r="M907" t="str">
        <f t="shared" si="85"/>
        <v>Apr</v>
      </c>
      <c r="N907" t="str">
        <f t="shared" si="86"/>
        <v>Tue</v>
      </c>
      <c r="O907" s="1">
        <f t="shared" si="87"/>
        <v>7</v>
      </c>
      <c r="P907" s="1">
        <f t="shared" si="88"/>
        <v>16</v>
      </c>
      <c r="Q907" s="1">
        <f>ROUND(G907*H907*VLOOKUP(D907,'Cost Product'!A$1:C$21,3,FALSE),0)</f>
        <v>8</v>
      </c>
      <c r="R907" s="1">
        <f t="shared" si="89"/>
        <v>8</v>
      </c>
    </row>
    <row r="908" spans="1:18" x14ac:dyDescent="0.25">
      <c r="A908" s="1" t="s">
        <v>1851</v>
      </c>
      <c r="B908" t="s">
        <v>1852</v>
      </c>
      <c r="C908" t="s">
        <v>17</v>
      </c>
      <c r="D908" s="3" t="s">
        <v>50</v>
      </c>
      <c r="E908" s="4">
        <v>45446</v>
      </c>
      <c r="F908" s="4">
        <v>45449</v>
      </c>
      <c r="G908" s="1">
        <v>2</v>
      </c>
      <c r="H908" s="1">
        <f>VLOOKUP(D908, 'Cost Product'!$A$2:$C$21, 2, FALSE)</f>
        <v>5.25</v>
      </c>
      <c r="I908" t="s">
        <v>13</v>
      </c>
      <c r="J908" t="s">
        <v>2142</v>
      </c>
      <c r="K908" t="s">
        <v>14</v>
      </c>
      <c r="L908" s="1" t="str">
        <f t="shared" si="84"/>
        <v>2024</v>
      </c>
      <c r="M908" t="str">
        <f t="shared" si="85"/>
        <v>Jun</v>
      </c>
      <c r="N908" t="str">
        <f t="shared" si="86"/>
        <v>Mon</v>
      </c>
      <c r="O908" s="1">
        <f t="shared" si="87"/>
        <v>3</v>
      </c>
      <c r="P908" s="1">
        <f t="shared" si="88"/>
        <v>10.5</v>
      </c>
      <c r="Q908" s="1">
        <f>ROUND(G908*H908*VLOOKUP(D908,'Cost Product'!A$1:C$21,3,FALSE),0)</f>
        <v>6</v>
      </c>
      <c r="R908" s="1">
        <f t="shared" si="89"/>
        <v>4.5</v>
      </c>
    </row>
    <row r="909" spans="1:18" x14ac:dyDescent="0.25">
      <c r="A909" s="1" t="s">
        <v>1853</v>
      </c>
      <c r="B909" t="s">
        <v>1854</v>
      </c>
      <c r="C909" t="s">
        <v>65</v>
      </c>
      <c r="D909" t="s">
        <v>115</v>
      </c>
      <c r="E909" s="4">
        <v>45387</v>
      </c>
      <c r="F909" s="4">
        <v>45391</v>
      </c>
      <c r="G909" s="1">
        <v>5</v>
      </c>
      <c r="H909" s="1">
        <v>3</v>
      </c>
      <c r="I909" t="s">
        <v>13</v>
      </c>
      <c r="J909" t="s">
        <v>2145</v>
      </c>
      <c r="K909" t="s">
        <v>28</v>
      </c>
      <c r="L909" s="1" t="str">
        <f t="shared" si="84"/>
        <v>2024</v>
      </c>
      <c r="M909" t="str">
        <f t="shared" si="85"/>
        <v>Apr</v>
      </c>
      <c r="N909" t="str">
        <f t="shared" si="86"/>
        <v>Fri</v>
      </c>
      <c r="O909" s="1">
        <f t="shared" si="87"/>
        <v>4</v>
      </c>
      <c r="P909" s="1">
        <f t="shared" si="88"/>
        <v>15</v>
      </c>
      <c r="Q909" s="1">
        <f>ROUND(G909*H909*VLOOKUP(D909,'Cost Product'!A$1:C$21,3,FALSE),0)</f>
        <v>7</v>
      </c>
      <c r="R909" s="1">
        <f t="shared" si="89"/>
        <v>8</v>
      </c>
    </row>
    <row r="910" spans="1:18" x14ac:dyDescent="0.25">
      <c r="A910" s="1" t="s">
        <v>1855</v>
      </c>
      <c r="B910" t="s">
        <v>1856</v>
      </c>
      <c r="C910" t="s">
        <v>26</v>
      </c>
      <c r="D910" t="s">
        <v>104</v>
      </c>
      <c r="E910" s="4">
        <v>45484</v>
      </c>
      <c r="F910" s="4">
        <v>45494</v>
      </c>
      <c r="G910" s="1">
        <v>2</v>
      </c>
      <c r="H910" s="1">
        <v>4.5</v>
      </c>
      <c r="I910" t="s">
        <v>13</v>
      </c>
      <c r="J910" t="s">
        <v>2141</v>
      </c>
      <c r="K910" t="s">
        <v>19</v>
      </c>
      <c r="L910" s="1" t="str">
        <f t="shared" si="84"/>
        <v>2024</v>
      </c>
      <c r="M910" t="str">
        <f t="shared" si="85"/>
        <v>Jul</v>
      </c>
      <c r="N910" t="str">
        <f t="shared" si="86"/>
        <v>Thu</v>
      </c>
      <c r="O910" s="1">
        <f t="shared" si="87"/>
        <v>10</v>
      </c>
      <c r="P910" s="1">
        <f t="shared" si="88"/>
        <v>9</v>
      </c>
      <c r="Q910" s="1">
        <f>ROUND(G910*H910*VLOOKUP(D910,'Cost Product'!A$1:C$21,3,FALSE),0)</f>
        <v>5</v>
      </c>
      <c r="R910" s="1">
        <f t="shared" si="89"/>
        <v>4</v>
      </c>
    </row>
    <row r="911" spans="1:18" x14ac:dyDescent="0.25">
      <c r="A911" s="1" t="s">
        <v>1857</v>
      </c>
      <c r="B911" t="s">
        <v>1858</v>
      </c>
      <c r="C911" t="s">
        <v>26</v>
      </c>
      <c r="D911" t="s">
        <v>27</v>
      </c>
      <c r="E911" s="4">
        <v>45127</v>
      </c>
      <c r="F911" s="4">
        <v>45128</v>
      </c>
      <c r="G911" s="1">
        <v>1</v>
      </c>
      <c r="H911" s="1">
        <v>4.75</v>
      </c>
      <c r="I911" t="s">
        <v>13</v>
      </c>
      <c r="J911" t="s">
        <v>2145</v>
      </c>
      <c r="K911" t="s">
        <v>28</v>
      </c>
      <c r="L911" s="1" t="str">
        <f t="shared" si="84"/>
        <v>2023</v>
      </c>
      <c r="M911" t="str">
        <f t="shared" si="85"/>
        <v>Jul</v>
      </c>
      <c r="N911" t="str">
        <f t="shared" si="86"/>
        <v>Thu</v>
      </c>
      <c r="O911" s="1">
        <f t="shared" si="87"/>
        <v>1</v>
      </c>
      <c r="P911" s="1">
        <f t="shared" si="88"/>
        <v>4.75</v>
      </c>
      <c r="Q911" s="1">
        <f>ROUND(G911*H911*VLOOKUP(D911,'Cost Product'!A$1:C$21,3,FALSE),0)</f>
        <v>3</v>
      </c>
      <c r="R911" s="1">
        <f t="shared" si="89"/>
        <v>1.75</v>
      </c>
    </row>
    <row r="912" spans="1:18" x14ac:dyDescent="0.25">
      <c r="A912" s="1" t="s">
        <v>1859</v>
      </c>
      <c r="B912" t="s">
        <v>1860</v>
      </c>
      <c r="C912" t="s">
        <v>65</v>
      </c>
      <c r="D912" t="s">
        <v>115</v>
      </c>
      <c r="E912" s="4">
        <v>45448</v>
      </c>
      <c r="F912" s="4">
        <v>45452</v>
      </c>
      <c r="G912" s="1">
        <v>2</v>
      </c>
      <c r="H912" s="1">
        <v>3</v>
      </c>
      <c r="I912" t="s">
        <v>13</v>
      </c>
      <c r="J912" t="s">
        <v>2145</v>
      </c>
      <c r="K912" t="s">
        <v>28</v>
      </c>
      <c r="L912" s="1" t="str">
        <f t="shared" si="84"/>
        <v>2024</v>
      </c>
      <c r="M912" t="str">
        <f t="shared" si="85"/>
        <v>Jun</v>
      </c>
      <c r="N912" t="str">
        <f t="shared" si="86"/>
        <v>Wed</v>
      </c>
      <c r="O912" s="1">
        <f t="shared" si="87"/>
        <v>4</v>
      </c>
      <c r="P912" s="1">
        <f t="shared" si="88"/>
        <v>6</v>
      </c>
      <c r="Q912" s="1">
        <f>ROUND(G912*H912*VLOOKUP(D912,'Cost Product'!A$1:C$21,3,FALSE),0)</f>
        <v>3</v>
      </c>
      <c r="R912" s="1">
        <f t="shared" si="89"/>
        <v>3</v>
      </c>
    </row>
    <row r="913" spans="1:18" x14ac:dyDescent="0.25">
      <c r="A913" s="1" t="s">
        <v>1861</v>
      </c>
      <c r="B913" t="s">
        <v>1862</v>
      </c>
      <c r="C913" t="s">
        <v>11</v>
      </c>
      <c r="D913" s="3" t="s">
        <v>12</v>
      </c>
      <c r="E913" s="4">
        <v>45256</v>
      </c>
      <c r="F913" s="4">
        <v>45258</v>
      </c>
      <c r="G913" s="1">
        <v>5</v>
      </c>
      <c r="H913" s="1">
        <f>VLOOKUP(D913, 'Cost Product'!$A$2:$C$21, 2, FALSE)</f>
        <v>6.5</v>
      </c>
      <c r="I913" t="s">
        <v>40</v>
      </c>
      <c r="J913" t="s">
        <v>2146</v>
      </c>
      <c r="K913" t="s">
        <v>28</v>
      </c>
      <c r="L913" s="1" t="str">
        <f t="shared" si="84"/>
        <v>2023</v>
      </c>
      <c r="M913" t="str">
        <f t="shared" si="85"/>
        <v>Nov</v>
      </c>
      <c r="N913" t="str">
        <f t="shared" si="86"/>
        <v>Sun</v>
      </c>
      <c r="O913" s="1">
        <f t="shared" si="87"/>
        <v>2</v>
      </c>
      <c r="P913" s="1">
        <f t="shared" si="88"/>
        <v>32.5</v>
      </c>
      <c r="Q913" s="1">
        <f>ROUND(G913*H913*VLOOKUP(D913,'Cost Product'!A$1:C$21,3,FALSE),0)</f>
        <v>19</v>
      </c>
      <c r="R913" s="1">
        <f t="shared" si="89"/>
        <v>13.5</v>
      </c>
    </row>
    <row r="914" spans="1:18" x14ac:dyDescent="0.25">
      <c r="A914" s="1" t="s">
        <v>1863</v>
      </c>
      <c r="B914" t="s">
        <v>1864</v>
      </c>
      <c r="C914" t="s">
        <v>22</v>
      </c>
      <c r="D914" t="s">
        <v>62</v>
      </c>
      <c r="E914" s="4">
        <v>45490</v>
      </c>
      <c r="F914" s="4">
        <v>45494</v>
      </c>
      <c r="G914" s="1">
        <v>4</v>
      </c>
      <c r="H914" s="1">
        <v>8</v>
      </c>
      <c r="I914" t="s">
        <v>13</v>
      </c>
      <c r="J914" t="s">
        <v>2145</v>
      </c>
      <c r="K914" t="s">
        <v>28</v>
      </c>
      <c r="L914" s="1" t="str">
        <f t="shared" si="84"/>
        <v>2024</v>
      </c>
      <c r="M914" t="str">
        <f t="shared" si="85"/>
        <v>Jul</v>
      </c>
      <c r="N914" t="str">
        <f t="shared" si="86"/>
        <v>Wed</v>
      </c>
      <c r="O914" s="1">
        <f t="shared" si="87"/>
        <v>4</v>
      </c>
      <c r="P914" s="1">
        <f t="shared" si="88"/>
        <v>32</v>
      </c>
      <c r="Q914" s="1">
        <f>ROUND(G914*H914*VLOOKUP(D914,'Cost Product'!A$1:C$21,3,FALSE),0)</f>
        <v>19</v>
      </c>
      <c r="R914" s="1">
        <f t="shared" si="89"/>
        <v>13</v>
      </c>
    </row>
    <row r="915" spans="1:18" x14ac:dyDescent="0.25">
      <c r="A915" s="1" t="s">
        <v>1865</v>
      </c>
      <c r="B915" t="s">
        <v>1866</v>
      </c>
      <c r="C915" t="s">
        <v>17</v>
      </c>
      <c r="D915" t="s">
        <v>79</v>
      </c>
      <c r="E915" s="4">
        <v>45343</v>
      </c>
      <c r="F915" s="4">
        <v>45346</v>
      </c>
      <c r="G915" s="1">
        <v>1</v>
      </c>
      <c r="H915" s="1">
        <v>5</v>
      </c>
      <c r="I915" t="s">
        <v>13</v>
      </c>
      <c r="J915" t="s">
        <v>2141</v>
      </c>
      <c r="K915" t="s">
        <v>14</v>
      </c>
      <c r="L915" s="1" t="str">
        <f t="shared" si="84"/>
        <v>2024</v>
      </c>
      <c r="M915" t="str">
        <f t="shared" si="85"/>
        <v>Feb</v>
      </c>
      <c r="N915" t="str">
        <f t="shared" si="86"/>
        <v>Wed</v>
      </c>
      <c r="O915" s="1">
        <f t="shared" si="87"/>
        <v>3</v>
      </c>
      <c r="P915" s="1">
        <f t="shared" si="88"/>
        <v>5</v>
      </c>
      <c r="Q915" s="1">
        <f>ROUND(G915*H915*VLOOKUP(D915,'Cost Product'!A$1:C$21,3,FALSE),0)</f>
        <v>3</v>
      </c>
      <c r="R915" s="1">
        <f t="shared" si="89"/>
        <v>2</v>
      </c>
    </row>
    <row r="916" spans="1:18" x14ac:dyDescent="0.25">
      <c r="A916" s="1" t="s">
        <v>1867</v>
      </c>
      <c r="B916" t="s">
        <v>1868</v>
      </c>
      <c r="C916" t="s">
        <v>65</v>
      </c>
      <c r="D916" s="3" t="s">
        <v>115</v>
      </c>
      <c r="E916" s="4">
        <v>45168</v>
      </c>
      <c r="F916" s="4">
        <v>45173</v>
      </c>
      <c r="G916" s="1">
        <v>2</v>
      </c>
      <c r="H916" s="1">
        <f>VLOOKUP(D916, 'Cost Product'!$A$2:$C$21, 2, FALSE)</f>
        <v>3</v>
      </c>
      <c r="I916" t="s">
        <v>13</v>
      </c>
      <c r="J916" t="s">
        <v>2141</v>
      </c>
      <c r="K916" t="s">
        <v>14</v>
      </c>
      <c r="L916" s="1" t="str">
        <f t="shared" si="84"/>
        <v>2023</v>
      </c>
      <c r="M916" t="str">
        <f t="shared" si="85"/>
        <v>Aug</v>
      </c>
      <c r="N916" t="str">
        <f t="shared" si="86"/>
        <v>Wed</v>
      </c>
      <c r="O916" s="1">
        <f t="shared" si="87"/>
        <v>5</v>
      </c>
      <c r="P916" s="1">
        <f t="shared" si="88"/>
        <v>6</v>
      </c>
      <c r="Q916" s="1">
        <f>ROUND(G916*H916*VLOOKUP(D916,'Cost Product'!A$1:C$21,3,FALSE),0)</f>
        <v>3</v>
      </c>
      <c r="R916" s="1">
        <f t="shared" si="89"/>
        <v>3</v>
      </c>
    </row>
    <row r="917" spans="1:18" x14ac:dyDescent="0.25">
      <c r="A917" s="1" t="s">
        <v>1869</v>
      </c>
      <c r="B917" t="s">
        <v>1870</v>
      </c>
      <c r="C917" t="s">
        <v>22</v>
      </c>
      <c r="D917" t="s">
        <v>59</v>
      </c>
      <c r="E917" s="4">
        <v>45525</v>
      </c>
      <c r="F917" s="4">
        <v>45526</v>
      </c>
      <c r="G917" s="1">
        <v>4</v>
      </c>
      <c r="H917" s="1">
        <v>8.5</v>
      </c>
      <c r="I917" t="s">
        <v>13</v>
      </c>
      <c r="J917" t="s">
        <v>2144</v>
      </c>
      <c r="K917" t="s">
        <v>28</v>
      </c>
      <c r="L917" s="1" t="str">
        <f t="shared" si="84"/>
        <v>2024</v>
      </c>
      <c r="M917" t="str">
        <f t="shared" si="85"/>
        <v>Aug</v>
      </c>
      <c r="N917" t="str">
        <f t="shared" si="86"/>
        <v>Wed</v>
      </c>
      <c r="O917" s="1">
        <f t="shared" si="87"/>
        <v>1</v>
      </c>
      <c r="P917" s="1">
        <f t="shared" si="88"/>
        <v>34</v>
      </c>
      <c r="Q917" s="1">
        <f>ROUND(G917*H917*VLOOKUP(D917,'Cost Product'!A$1:C$21,3,FALSE),0)</f>
        <v>20</v>
      </c>
      <c r="R917" s="1">
        <f t="shared" si="89"/>
        <v>14</v>
      </c>
    </row>
    <row r="918" spans="1:18" x14ac:dyDescent="0.25">
      <c r="A918" s="1" t="s">
        <v>1871</v>
      </c>
      <c r="B918" t="s">
        <v>1872</v>
      </c>
      <c r="C918" t="s">
        <v>65</v>
      </c>
      <c r="D918" t="s">
        <v>66</v>
      </c>
      <c r="E918" s="4">
        <v>45342</v>
      </c>
      <c r="F918" s="4">
        <v>45344</v>
      </c>
      <c r="G918" s="1">
        <v>2</v>
      </c>
      <c r="H918" s="1">
        <v>3.5</v>
      </c>
      <c r="I918" t="s">
        <v>13</v>
      </c>
      <c r="J918" t="s">
        <v>2143</v>
      </c>
      <c r="K918" t="s">
        <v>28</v>
      </c>
      <c r="L918" s="1" t="str">
        <f t="shared" si="84"/>
        <v>2024</v>
      </c>
      <c r="M918" t="str">
        <f t="shared" si="85"/>
        <v>Feb</v>
      </c>
      <c r="N918" t="str">
        <f t="shared" si="86"/>
        <v>Tue</v>
      </c>
      <c r="O918" s="1">
        <f t="shared" si="87"/>
        <v>2</v>
      </c>
      <c r="P918" s="1">
        <f t="shared" si="88"/>
        <v>7</v>
      </c>
      <c r="Q918" s="1">
        <f>ROUND(G918*H918*VLOOKUP(D918,'Cost Product'!A$1:C$21,3,FALSE),0)</f>
        <v>3</v>
      </c>
      <c r="R918" s="1">
        <f t="shared" si="89"/>
        <v>4</v>
      </c>
    </row>
    <row r="919" spans="1:18" x14ac:dyDescent="0.25">
      <c r="A919" s="1" t="s">
        <v>1873</v>
      </c>
      <c r="B919" t="s">
        <v>1874</v>
      </c>
      <c r="C919" t="s">
        <v>26</v>
      </c>
      <c r="D919" s="3" t="s">
        <v>45</v>
      </c>
      <c r="E919" s="4">
        <v>45262</v>
      </c>
      <c r="F919" s="4">
        <v>45266</v>
      </c>
      <c r="G919" s="1">
        <v>1</v>
      </c>
      <c r="H919" s="1">
        <f>VLOOKUP(D919, 'Cost Product'!$A$2:$C$21, 2, FALSE)</f>
        <v>4.5</v>
      </c>
      <c r="I919" t="s">
        <v>13</v>
      </c>
      <c r="J919" t="s">
        <v>2141</v>
      </c>
      <c r="K919" t="s">
        <v>28</v>
      </c>
      <c r="L919" s="1" t="str">
        <f t="shared" si="84"/>
        <v>2023</v>
      </c>
      <c r="M919" t="str">
        <f t="shared" si="85"/>
        <v>Dec</v>
      </c>
      <c r="N919" t="str">
        <f t="shared" si="86"/>
        <v>Sat</v>
      </c>
      <c r="O919" s="1">
        <f t="shared" si="87"/>
        <v>4</v>
      </c>
      <c r="P919" s="1">
        <f t="shared" si="88"/>
        <v>4.5</v>
      </c>
      <c r="Q919" s="1">
        <f>ROUND(G919*H919*VLOOKUP(D919,'Cost Product'!A$1:C$21,3,FALSE),0)</f>
        <v>2</v>
      </c>
      <c r="R919" s="1">
        <f t="shared" si="89"/>
        <v>2.5</v>
      </c>
    </row>
    <row r="920" spans="1:18" x14ac:dyDescent="0.25">
      <c r="A920" s="1" t="s">
        <v>1875</v>
      </c>
      <c r="B920" t="s">
        <v>1876</v>
      </c>
      <c r="C920" t="s">
        <v>26</v>
      </c>
      <c r="D920" t="s">
        <v>82</v>
      </c>
      <c r="E920" s="4">
        <v>45567</v>
      </c>
      <c r="F920" s="4">
        <v>45569</v>
      </c>
      <c r="G920" s="1">
        <v>3</v>
      </c>
      <c r="H920" s="1">
        <v>4.25</v>
      </c>
      <c r="I920" t="s">
        <v>13</v>
      </c>
      <c r="J920" t="s">
        <v>2141</v>
      </c>
      <c r="K920" t="s">
        <v>28</v>
      </c>
      <c r="L920" s="1" t="str">
        <f t="shared" si="84"/>
        <v>2024</v>
      </c>
      <c r="M920" t="str">
        <f t="shared" si="85"/>
        <v>Oct</v>
      </c>
      <c r="N920" t="str">
        <f t="shared" si="86"/>
        <v>Wed</v>
      </c>
      <c r="O920" s="1">
        <f t="shared" si="87"/>
        <v>2</v>
      </c>
      <c r="P920" s="1">
        <f t="shared" si="88"/>
        <v>12.75</v>
      </c>
      <c r="Q920" s="1">
        <f>ROUND(G920*H920*VLOOKUP(D920,'Cost Product'!A$1:C$21,3,FALSE),0)</f>
        <v>6</v>
      </c>
      <c r="R920" s="1">
        <f t="shared" si="89"/>
        <v>6.75</v>
      </c>
    </row>
    <row r="921" spans="1:18" x14ac:dyDescent="0.25">
      <c r="A921" s="1" t="s">
        <v>1877</v>
      </c>
      <c r="B921" t="s">
        <v>1878</v>
      </c>
      <c r="C921" t="s">
        <v>65</v>
      </c>
      <c r="D921" t="s">
        <v>99</v>
      </c>
      <c r="E921" s="4">
        <v>45321</v>
      </c>
      <c r="F921" s="4">
        <v>45324</v>
      </c>
      <c r="G921" s="1">
        <v>4</v>
      </c>
      <c r="H921" s="1">
        <v>4</v>
      </c>
      <c r="I921" t="s">
        <v>13</v>
      </c>
      <c r="J921" t="s">
        <v>2141</v>
      </c>
      <c r="K921" t="s">
        <v>19</v>
      </c>
      <c r="L921" s="1" t="str">
        <f t="shared" si="84"/>
        <v>2024</v>
      </c>
      <c r="M921" t="str">
        <f t="shared" si="85"/>
        <v>Jan</v>
      </c>
      <c r="N921" t="str">
        <f t="shared" si="86"/>
        <v>Tue</v>
      </c>
      <c r="O921" s="1">
        <f t="shared" si="87"/>
        <v>3</v>
      </c>
      <c r="P921" s="1">
        <f t="shared" si="88"/>
        <v>16</v>
      </c>
      <c r="Q921" s="1">
        <f>ROUND(G921*H921*VLOOKUP(D921,'Cost Product'!A$1:C$21,3,FALSE),0)</f>
        <v>8</v>
      </c>
      <c r="R921" s="1">
        <f t="shared" si="89"/>
        <v>8</v>
      </c>
    </row>
    <row r="922" spans="1:18" x14ac:dyDescent="0.25">
      <c r="A922" s="1" t="s">
        <v>1879</v>
      </c>
      <c r="B922" t="s">
        <v>1880</v>
      </c>
      <c r="C922" t="s">
        <v>65</v>
      </c>
      <c r="D922" t="s">
        <v>99</v>
      </c>
      <c r="E922" s="4">
        <v>45131</v>
      </c>
      <c r="F922" s="4">
        <v>45132</v>
      </c>
      <c r="G922" s="1">
        <v>4</v>
      </c>
      <c r="H922" s="1">
        <v>4</v>
      </c>
      <c r="I922" t="s">
        <v>13</v>
      </c>
      <c r="J922" t="s">
        <v>2141</v>
      </c>
      <c r="K922" t="s">
        <v>28</v>
      </c>
      <c r="L922" s="1" t="str">
        <f t="shared" si="84"/>
        <v>2023</v>
      </c>
      <c r="M922" t="str">
        <f t="shared" si="85"/>
        <v>Jul</v>
      </c>
      <c r="N922" t="str">
        <f t="shared" si="86"/>
        <v>Mon</v>
      </c>
      <c r="O922" s="1">
        <f t="shared" si="87"/>
        <v>1</v>
      </c>
      <c r="P922" s="1">
        <f t="shared" si="88"/>
        <v>16</v>
      </c>
      <c r="Q922" s="1">
        <f>ROUND(G922*H922*VLOOKUP(D922,'Cost Product'!A$1:C$21,3,FALSE),0)</f>
        <v>8</v>
      </c>
      <c r="R922" s="1">
        <f t="shared" si="89"/>
        <v>8</v>
      </c>
    </row>
    <row r="923" spans="1:18" x14ac:dyDescent="0.25">
      <c r="A923" s="1" t="s">
        <v>1881</v>
      </c>
      <c r="B923" t="s">
        <v>1882</v>
      </c>
      <c r="C923" t="s">
        <v>65</v>
      </c>
      <c r="D923" s="3" t="s">
        <v>115</v>
      </c>
      <c r="E923" s="4">
        <v>45308</v>
      </c>
      <c r="F923" s="4">
        <v>45314</v>
      </c>
      <c r="G923" s="1">
        <v>4</v>
      </c>
      <c r="H923" s="1">
        <f>VLOOKUP(D923, 'Cost Product'!$A$2:$C$21, 2, FALSE)</f>
        <v>3</v>
      </c>
      <c r="I923" t="s">
        <v>40</v>
      </c>
      <c r="J923" t="s">
        <v>2144</v>
      </c>
      <c r="K923" t="s">
        <v>28</v>
      </c>
      <c r="L923" s="1" t="str">
        <f t="shared" si="84"/>
        <v>2024</v>
      </c>
      <c r="M923" t="str">
        <f t="shared" si="85"/>
        <v>Jan</v>
      </c>
      <c r="N923" t="str">
        <f t="shared" si="86"/>
        <v>Wed</v>
      </c>
      <c r="O923" s="1">
        <f t="shared" si="87"/>
        <v>6</v>
      </c>
      <c r="P923" s="1">
        <f t="shared" si="88"/>
        <v>12</v>
      </c>
      <c r="Q923" s="1">
        <f>ROUND(G923*H923*VLOOKUP(D923,'Cost Product'!A$1:C$21,3,FALSE),0)</f>
        <v>6</v>
      </c>
      <c r="R923" s="1">
        <f t="shared" si="89"/>
        <v>6</v>
      </c>
    </row>
    <row r="924" spans="1:18" x14ac:dyDescent="0.25">
      <c r="A924" s="1" t="s">
        <v>1883</v>
      </c>
      <c r="B924" t="s">
        <v>1884</v>
      </c>
      <c r="C924" t="s">
        <v>11</v>
      </c>
      <c r="D924" t="s">
        <v>39</v>
      </c>
      <c r="E924" s="4">
        <v>45421</v>
      </c>
      <c r="F924" s="4">
        <v>45423</v>
      </c>
      <c r="G924" s="1">
        <v>5</v>
      </c>
      <c r="H924" s="1">
        <v>5.75</v>
      </c>
      <c r="I924" t="s">
        <v>13</v>
      </c>
      <c r="J924" t="s">
        <v>2141</v>
      </c>
      <c r="K924" t="s">
        <v>28</v>
      </c>
      <c r="L924" s="1" t="str">
        <f t="shared" si="84"/>
        <v>2024</v>
      </c>
      <c r="M924" t="str">
        <f t="shared" si="85"/>
        <v>May</v>
      </c>
      <c r="N924" t="str">
        <f t="shared" si="86"/>
        <v>Thu</v>
      </c>
      <c r="O924" s="1">
        <f t="shared" si="87"/>
        <v>2</v>
      </c>
      <c r="P924" s="1">
        <f t="shared" si="88"/>
        <v>28.75</v>
      </c>
      <c r="Q924" s="1">
        <f>ROUND(G924*H924*VLOOKUP(D924,'Cost Product'!A$1:C$21,3,FALSE),0)</f>
        <v>14</v>
      </c>
      <c r="R924" s="1">
        <f t="shared" si="89"/>
        <v>14.75</v>
      </c>
    </row>
    <row r="925" spans="1:18" x14ac:dyDescent="0.25">
      <c r="A925" s="1" t="s">
        <v>1885</v>
      </c>
      <c r="B925" t="s">
        <v>1886</v>
      </c>
      <c r="C925" t="s">
        <v>22</v>
      </c>
      <c r="D925" t="s">
        <v>62</v>
      </c>
      <c r="E925" s="4">
        <v>45308</v>
      </c>
      <c r="F925" s="4">
        <v>45310</v>
      </c>
      <c r="G925" s="1">
        <v>1</v>
      </c>
      <c r="H925" s="1">
        <v>8</v>
      </c>
      <c r="I925" t="s">
        <v>13</v>
      </c>
      <c r="J925" t="s">
        <v>2142</v>
      </c>
      <c r="K925" t="s">
        <v>28</v>
      </c>
      <c r="L925" s="1" t="str">
        <f t="shared" si="84"/>
        <v>2024</v>
      </c>
      <c r="M925" t="str">
        <f t="shared" si="85"/>
        <v>Jan</v>
      </c>
      <c r="N925" t="str">
        <f t="shared" si="86"/>
        <v>Wed</v>
      </c>
      <c r="O925" s="1">
        <f t="shared" si="87"/>
        <v>2</v>
      </c>
      <c r="P925" s="1">
        <f t="shared" si="88"/>
        <v>8</v>
      </c>
      <c r="Q925" s="1">
        <f>ROUND(G925*H925*VLOOKUP(D925,'Cost Product'!A$1:C$21,3,FALSE),0)</f>
        <v>5</v>
      </c>
      <c r="R925" s="1">
        <f t="shared" si="89"/>
        <v>3</v>
      </c>
    </row>
    <row r="926" spans="1:18" x14ac:dyDescent="0.25">
      <c r="A926" s="1" t="s">
        <v>1887</v>
      </c>
      <c r="B926" t="s">
        <v>1888</v>
      </c>
      <c r="C926" t="s">
        <v>17</v>
      </c>
      <c r="D926" t="s">
        <v>18</v>
      </c>
      <c r="E926" s="4">
        <v>45399</v>
      </c>
      <c r="F926" s="4">
        <v>45402</v>
      </c>
      <c r="G926" s="1">
        <v>3</v>
      </c>
      <c r="H926" s="1">
        <v>5.5</v>
      </c>
      <c r="I926" t="s">
        <v>13</v>
      </c>
      <c r="J926" t="s">
        <v>2141</v>
      </c>
      <c r="K926" t="s">
        <v>19</v>
      </c>
      <c r="L926" s="1" t="str">
        <f t="shared" si="84"/>
        <v>2024</v>
      </c>
      <c r="M926" t="str">
        <f t="shared" si="85"/>
        <v>Apr</v>
      </c>
      <c r="N926" t="str">
        <f t="shared" si="86"/>
        <v>Wed</v>
      </c>
      <c r="O926" s="1">
        <f t="shared" si="87"/>
        <v>3</v>
      </c>
      <c r="P926" s="1">
        <f t="shared" si="88"/>
        <v>16.5</v>
      </c>
      <c r="Q926" s="1">
        <f>ROUND(G926*H926*VLOOKUP(D926,'Cost Product'!A$1:C$21,3,FALSE),0)</f>
        <v>10</v>
      </c>
      <c r="R926" s="1">
        <f t="shared" si="89"/>
        <v>6.5</v>
      </c>
    </row>
    <row r="927" spans="1:18" x14ac:dyDescent="0.25">
      <c r="A927" s="1" t="s">
        <v>1889</v>
      </c>
      <c r="B927" t="s">
        <v>1890</v>
      </c>
      <c r="C927" t="s">
        <v>11</v>
      </c>
      <c r="D927" t="s">
        <v>39</v>
      </c>
      <c r="E927" s="4">
        <v>45566</v>
      </c>
      <c r="F927" s="4">
        <v>45570</v>
      </c>
      <c r="G927" s="1">
        <v>5</v>
      </c>
      <c r="H927" s="1">
        <v>5.75</v>
      </c>
      <c r="I927" t="s">
        <v>13</v>
      </c>
      <c r="J927" t="s">
        <v>2141</v>
      </c>
      <c r="K927" t="s">
        <v>19</v>
      </c>
      <c r="L927" s="1" t="str">
        <f t="shared" si="84"/>
        <v>2024</v>
      </c>
      <c r="M927" t="str">
        <f t="shared" si="85"/>
        <v>Oct</v>
      </c>
      <c r="N927" t="str">
        <f t="shared" si="86"/>
        <v>Tue</v>
      </c>
      <c r="O927" s="1">
        <f t="shared" si="87"/>
        <v>4</v>
      </c>
      <c r="P927" s="1">
        <f t="shared" si="88"/>
        <v>28.75</v>
      </c>
      <c r="Q927" s="1">
        <f>ROUND(G927*H927*VLOOKUP(D927,'Cost Product'!A$1:C$21,3,FALSE),0)</f>
        <v>14</v>
      </c>
      <c r="R927" s="1">
        <f t="shared" si="89"/>
        <v>14.75</v>
      </c>
    </row>
    <row r="928" spans="1:18" x14ac:dyDescent="0.25">
      <c r="A928" s="1" t="s">
        <v>1891</v>
      </c>
      <c r="B928" t="s">
        <v>1892</v>
      </c>
      <c r="C928" t="s">
        <v>22</v>
      </c>
      <c r="D928" s="3" t="s">
        <v>62</v>
      </c>
      <c r="E928" s="4">
        <v>45180</v>
      </c>
      <c r="F928" s="4">
        <v>45181</v>
      </c>
      <c r="G928" s="1">
        <v>1</v>
      </c>
      <c r="H928" s="1">
        <f>VLOOKUP(D928, 'Cost Product'!$A$2:$C$21, 2, FALSE)</f>
        <v>8</v>
      </c>
      <c r="I928" t="s">
        <v>13</v>
      </c>
      <c r="J928" t="s">
        <v>2142</v>
      </c>
      <c r="K928" t="s">
        <v>14</v>
      </c>
      <c r="L928" s="1" t="str">
        <f t="shared" si="84"/>
        <v>2023</v>
      </c>
      <c r="M928" t="str">
        <f t="shared" si="85"/>
        <v>Sep</v>
      </c>
      <c r="N928" t="str">
        <f t="shared" si="86"/>
        <v>Mon</v>
      </c>
      <c r="O928" s="1">
        <f t="shared" si="87"/>
        <v>1</v>
      </c>
      <c r="P928" s="1">
        <f t="shared" si="88"/>
        <v>8</v>
      </c>
      <c r="Q928" s="1">
        <f>ROUND(G928*H928*VLOOKUP(D928,'Cost Product'!A$1:C$21,3,FALSE),0)</f>
        <v>5</v>
      </c>
      <c r="R928" s="1">
        <f t="shared" si="89"/>
        <v>3</v>
      </c>
    </row>
    <row r="929" spans="1:18" x14ac:dyDescent="0.25">
      <c r="A929" s="1" t="s">
        <v>1893</v>
      </c>
      <c r="B929" t="s">
        <v>1894</v>
      </c>
      <c r="C929" t="s">
        <v>65</v>
      </c>
      <c r="D929" t="s">
        <v>66</v>
      </c>
      <c r="E929" s="4">
        <v>45355</v>
      </c>
      <c r="F929" s="4">
        <v>45358</v>
      </c>
      <c r="G929" s="1">
        <v>1</v>
      </c>
      <c r="H929" s="1">
        <v>3.5</v>
      </c>
      <c r="I929" t="s">
        <v>13</v>
      </c>
      <c r="J929" t="s">
        <v>2141</v>
      </c>
      <c r="K929" t="s">
        <v>14</v>
      </c>
      <c r="L929" s="1" t="str">
        <f t="shared" si="84"/>
        <v>2024</v>
      </c>
      <c r="M929" t="str">
        <f t="shared" si="85"/>
        <v>Mar</v>
      </c>
      <c r="N929" t="str">
        <f t="shared" si="86"/>
        <v>Mon</v>
      </c>
      <c r="O929" s="1">
        <f t="shared" si="87"/>
        <v>3</v>
      </c>
      <c r="P929" s="1">
        <f t="shared" si="88"/>
        <v>3.5</v>
      </c>
      <c r="Q929" s="1">
        <f>ROUND(G929*H929*VLOOKUP(D929,'Cost Product'!A$1:C$21,3,FALSE),0)</f>
        <v>2</v>
      </c>
      <c r="R929" s="1">
        <f t="shared" si="89"/>
        <v>1.5</v>
      </c>
    </row>
    <row r="930" spans="1:18" x14ac:dyDescent="0.25">
      <c r="A930" s="1" t="s">
        <v>1895</v>
      </c>
      <c r="B930" t="s">
        <v>1896</v>
      </c>
      <c r="C930" t="s">
        <v>22</v>
      </c>
      <c r="D930" t="s">
        <v>62</v>
      </c>
      <c r="E930" s="4">
        <v>45467</v>
      </c>
      <c r="F930" s="4">
        <v>45481</v>
      </c>
      <c r="G930" s="1">
        <v>5</v>
      </c>
      <c r="H930" s="1">
        <v>8</v>
      </c>
      <c r="I930" t="s">
        <v>13</v>
      </c>
      <c r="J930" t="s">
        <v>2141</v>
      </c>
      <c r="K930" t="s">
        <v>14</v>
      </c>
      <c r="L930" s="1" t="str">
        <f t="shared" si="84"/>
        <v>2024</v>
      </c>
      <c r="M930" t="str">
        <f t="shared" si="85"/>
        <v>Jun</v>
      </c>
      <c r="N930" t="str">
        <f t="shared" si="86"/>
        <v>Mon</v>
      </c>
      <c r="O930" s="1">
        <f t="shared" si="87"/>
        <v>14</v>
      </c>
      <c r="P930" s="1">
        <f t="shared" si="88"/>
        <v>40</v>
      </c>
      <c r="Q930" s="1">
        <f>ROUND(G930*H930*VLOOKUP(D930,'Cost Product'!A$1:C$21,3,FALSE),0)</f>
        <v>23</v>
      </c>
      <c r="R930" s="1">
        <f t="shared" si="89"/>
        <v>17</v>
      </c>
    </row>
    <row r="931" spans="1:18" x14ac:dyDescent="0.25">
      <c r="A931" s="1" t="s">
        <v>1897</v>
      </c>
      <c r="B931" t="s">
        <v>1898</v>
      </c>
      <c r="C931" t="s">
        <v>11</v>
      </c>
      <c r="D931" t="s">
        <v>39</v>
      </c>
      <c r="E931" s="4">
        <v>45372</v>
      </c>
      <c r="F931" s="4">
        <v>45375</v>
      </c>
      <c r="G931" s="1">
        <v>2</v>
      </c>
      <c r="H931" s="1">
        <v>5.75</v>
      </c>
      <c r="I931" t="s">
        <v>13</v>
      </c>
      <c r="J931" t="s">
        <v>2143</v>
      </c>
      <c r="K931" t="s">
        <v>14</v>
      </c>
      <c r="L931" s="1" t="str">
        <f t="shared" si="84"/>
        <v>2024</v>
      </c>
      <c r="M931" t="str">
        <f t="shared" si="85"/>
        <v>Mar</v>
      </c>
      <c r="N931" t="str">
        <f t="shared" si="86"/>
        <v>Thu</v>
      </c>
      <c r="O931" s="1">
        <f t="shared" si="87"/>
        <v>3</v>
      </c>
      <c r="P931" s="1">
        <f t="shared" si="88"/>
        <v>11.5</v>
      </c>
      <c r="Q931" s="1">
        <f>ROUND(G931*H931*VLOOKUP(D931,'Cost Product'!A$1:C$21,3,FALSE),0)</f>
        <v>6</v>
      </c>
      <c r="R931" s="1">
        <f t="shared" si="89"/>
        <v>5.5</v>
      </c>
    </row>
    <row r="932" spans="1:18" x14ac:dyDescent="0.25">
      <c r="A932" s="1" t="s">
        <v>1899</v>
      </c>
      <c r="B932" t="s">
        <v>1900</v>
      </c>
      <c r="C932" t="s">
        <v>26</v>
      </c>
      <c r="D932" s="3" t="s">
        <v>45</v>
      </c>
      <c r="E932" s="4">
        <v>45529</v>
      </c>
      <c r="F932" s="4">
        <v>45531</v>
      </c>
      <c r="G932" s="1">
        <v>2</v>
      </c>
      <c r="H932" s="1">
        <f>VLOOKUP(D932, 'Cost Product'!$A$2:$C$21, 2, FALSE)</f>
        <v>4.5</v>
      </c>
      <c r="I932" t="s">
        <v>13</v>
      </c>
      <c r="J932" t="s">
        <v>2141</v>
      </c>
      <c r="K932" t="s">
        <v>28</v>
      </c>
      <c r="L932" s="1" t="str">
        <f t="shared" si="84"/>
        <v>2024</v>
      </c>
      <c r="M932" t="str">
        <f t="shared" si="85"/>
        <v>Aug</v>
      </c>
      <c r="N932" t="str">
        <f t="shared" si="86"/>
        <v>Sun</v>
      </c>
      <c r="O932" s="1">
        <f t="shared" si="87"/>
        <v>2</v>
      </c>
      <c r="P932" s="1">
        <f t="shared" si="88"/>
        <v>9</v>
      </c>
      <c r="Q932" s="1">
        <f>ROUND(G932*H932*VLOOKUP(D932,'Cost Product'!A$1:C$21,3,FALSE),0)</f>
        <v>5</v>
      </c>
      <c r="R932" s="1">
        <f t="shared" si="89"/>
        <v>4</v>
      </c>
    </row>
    <row r="933" spans="1:18" x14ac:dyDescent="0.25">
      <c r="A933" s="1" t="s">
        <v>1901</v>
      </c>
      <c r="B933" t="s">
        <v>1902</v>
      </c>
      <c r="C933" t="s">
        <v>26</v>
      </c>
      <c r="D933" t="s">
        <v>27</v>
      </c>
      <c r="E933" s="4">
        <v>45498</v>
      </c>
      <c r="F933" s="4">
        <v>45501</v>
      </c>
      <c r="G933" s="1">
        <v>2</v>
      </c>
      <c r="H933" s="1">
        <v>4.75</v>
      </c>
      <c r="I933" t="s">
        <v>13</v>
      </c>
      <c r="J933" t="s">
        <v>2142</v>
      </c>
      <c r="K933" t="s">
        <v>14</v>
      </c>
      <c r="L933" s="1" t="str">
        <f t="shared" si="84"/>
        <v>2024</v>
      </c>
      <c r="M933" t="str">
        <f t="shared" si="85"/>
        <v>Jul</v>
      </c>
      <c r="N933" t="str">
        <f t="shared" si="86"/>
        <v>Thu</v>
      </c>
      <c r="O933" s="1">
        <f t="shared" si="87"/>
        <v>3</v>
      </c>
      <c r="P933" s="1">
        <f t="shared" si="88"/>
        <v>9.5</v>
      </c>
      <c r="Q933" s="1">
        <f>ROUND(G933*H933*VLOOKUP(D933,'Cost Product'!A$1:C$21,3,FALSE),0)</f>
        <v>5</v>
      </c>
      <c r="R933" s="1">
        <f t="shared" si="89"/>
        <v>4.5</v>
      </c>
    </row>
    <row r="934" spans="1:18" x14ac:dyDescent="0.25">
      <c r="A934" s="1" t="s">
        <v>1903</v>
      </c>
      <c r="B934" t="s">
        <v>1904</v>
      </c>
      <c r="C934" t="s">
        <v>17</v>
      </c>
      <c r="D934" t="s">
        <v>79</v>
      </c>
      <c r="E934" s="4">
        <v>45244</v>
      </c>
      <c r="F934" s="4">
        <v>45247</v>
      </c>
      <c r="G934" s="1">
        <v>2</v>
      </c>
      <c r="H934" s="1">
        <v>5</v>
      </c>
      <c r="I934" t="s">
        <v>13</v>
      </c>
      <c r="J934" t="s">
        <v>2144</v>
      </c>
      <c r="K934" t="s">
        <v>19</v>
      </c>
      <c r="L934" s="1" t="str">
        <f t="shared" si="84"/>
        <v>2023</v>
      </c>
      <c r="M934" t="str">
        <f t="shared" si="85"/>
        <v>Nov</v>
      </c>
      <c r="N934" t="str">
        <f t="shared" si="86"/>
        <v>Tue</v>
      </c>
      <c r="O934" s="1">
        <f t="shared" si="87"/>
        <v>3</v>
      </c>
      <c r="P934" s="1">
        <f t="shared" si="88"/>
        <v>10</v>
      </c>
      <c r="Q934" s="1">
        <f>ROUND(G934*H934*VLOOKUP(D934,'Cost Product'!A$1:C$21,3,FALSE),0)</f>
        <v>6</v>
      </c>
      <c r="R934" s="1">
        <f t="shared" si="89"/>
        <v>4</v>
      </c>
    </row>
    <row r="935" spans="1:18" x14ac:dyDescent="0.25">
      <c r="A935" s="1" t="s">
        <v>1905</v>
      </c>
      <c r="B935" t="s">
        <v>1906</v>
      </c>
      <c r="C935" t="s">
        <v>17</v>
      </c>
      <c r="D935" t="s">
        <v>53</v>
      </c>
      <c r="E935" s="4">
        <v>45589</v>
      </c>
      <c r="F935" s="4">
        <v>45593</v>
      </c>
      <c r="G935" s="1">
        <v>4</v>
      </c>
      <c r="H935" s="1">
        <v>4.75</v>
      </c>
      <c r="I935" t="s">
        <v>13</v>
      </c>
      <c r="J935" t="s">
        <v>2143</v>
      </c>
      <c r="K935" t="s">
        <v>14</v>
      </c>
      <c r="L935" s="1" t="str">
        <f t="shared" si="84"/>
        <v>2024</v>
      </c>
      <c r="M935" t="str">
        <f t="shared" si="85"/>
        <v>Oct</v>
      </c>
      <c r="N935" t="str">
        <f t="shared" si="86"/>
        <v>Thu</v>
      </c>
      <c r="O935" s="1">
        <f t="shared" si="87"/>
        <v>4</v>
      </c>
      <c r="P935" s="1">
        <f t="shared" si="88"/>
        <v>19</v>
      </c>
      <c r="Q935" s="1">
        <f>ROUND(G935*H935*VLOOKUP(D935,'Cost Product'!A$1:C$21,3,FALSE),0)</f>
        <v>10</v>
      </c>
      <c r="R935" s="1">
        <f t="shared" si="89"/>
        <v>9</v>
      </c>
    </row>
    <row r="936" spans="1:18" x14ac:dyDescent="0.25">
      <c r="A936" s="1" t="s">
        <v>1907</v>
      </c>
      <c r="B936" t="s">
        <v>1908</v>
      </c>
      <c r="C936" t="s">
        <v>26</v>
      </c>
      <c r="D936" t="s">
        <v>82</v>
      </c>
      <c r="E936" s="4">
        <v>45276</v>
      </c>
      <c r="F936" s="4">
        <v>45277</v>
      </c>
      <c r="G936" s="1">
        <v>4</v>
      </c>
      <c r="H936" s="1">
        <v>4.25</v>
      </c>
      <c r="I936" t="s">
        <v>13</v>
      </c>
      <c r="J936" t="s">
        <v>2146</v>
      </c>
      <c r="K936" t="s">
        <v>19</v>
      </c>
      <c r="L936" s="1" t="str">
        <f t="shared" si="84"/>
        <v>2023</v>
      </c>
      <c r="M936" t="str">
        <f t="shared" si="85"/>
        <v>Dec</v>
      </c>
      <c r="N936" t="str">
        <f t="shared" si="86"/>
        <v>Sat</v>
      </c>
      <c r="O936" s="1">
        <f t="shared" si="87"/>
        <v>1</v>
      </c>
      <c r="P936" s="1">
        <f t="shared" si="88"/>
        <v>17</v>
      </c>
      <c r="Q936" s="1">
        <f>ROUND(G936*H936*VLOOKUP(D936,'Cost Product'!A$1:C$21,3,FALSE),0)</f>
        <v>8</v>
      </c>
      <c r="R936" s="1">
        <f t="shared" si="89"/>
        <v>9</v>
      </c>
    </row>
    <row r="937" spans="1:18" x14ac:dyDescent="0.25">
      <c r="A937" s="1" t="s">
        <v>1909</v>
      </c>
      <c r="B937" t="s">
        <v>1910</v>
      </c>
      <c r="C937" t="s">
        <v>26</v>
      </c>
      <c r="D937" s="3" t="s">
        <v>27</v>
      </c>
      <c r="E937" s="4">
        <v>45231</v>
      </c>
      <c r="F937" s="4">
        <v>45232</v>
      </c>
      <c r="G937" s="1">
        <v>3</v>
      </c>
      <c r="H937" s="1">
        <f>VLOOKUP(D937, 'Cost Product'!$A$2:$C$21, 2, FALSE)</f>
        <v>4.75</v>
      </c>
      <c r="I937" t="s">
        <v>13</v>
      </c>
      <c r="J937" t="s">
        <v>2142</v>
      </c>
      <c r="K937" t="s">
        <v>28</v>
      </c>
      <c r="L937" s="1" t="str">
        <f t="shared" si="84"/>
        <v>2023</v>
      </c>
      <c r="M937" t="str">
        <f t="shared" si="85"/>
        <v>Nov</v>
      </c>
      <c r="N937" t="str">
        <f t="shared" si="86"/>
        <v>Wed</v>
      </c>
      <c r="O937" s="1">
        <f t="shared" si="87"/>
        <v>1</v>
      </c>
      <c r="P937" s="1">
        <f t="shared" si="88"/>
        <v>14.25</v>
      </c>
      <c r="Q937" s="1">
        <f>ROUND(G937*H937*VLOOKUP(D937,'Cost Product'!A$1:C$21,3,FALSE),0)</f>
        <v>8</v>
      </c>
      <c r="R937" s="1">
        <f t="shared" si="89"/>
        <v>6.25</v>
      </c>
    </row>
    <row r="938" spans="1:18" x14ac:dyDescent="0.25">
      <c r="A938" s="1" t="s">
        <v>1911</v>
      </c>
      <c r="B938" t="s">
        <v>1912</v>
      </c>
      <c r="C938" t="s">
        <v>17</v>
      </c>
      <c r="D938" t="s">
        <v>79</v>
      </c>
      <c r="E938" s="4">
        <v>45169</v>
      </c>
      <c r="F938" s="4">
        <v>45175</v>
      </c>
      <c r="G938" s="1">
        <v>5</v>
      </c>
      <c r="H938" s="1">
        <v>5</v>
      </c>
      <c r="I938" t="s">
        <v>13</v>
      </c>
      <c r="J938" t="s">
        <v>2145</v>
      </c>
      <c r="K938" t="s">
        <v>28</v>
      </c>
      <c r="L938" s="1" t="str">
        <f t="shared" si="84"/>
        <v>2023</v>
      </c>
      <c r="M938" t="str">
        <f t="shared" si="85"/>
        <v>Aug</v>
      </c>
      <c r="N938" t="str">
        <f t="shared" si="86"/>
        <v>Thu</v>
      </c>
      <c r="O938" s="1">
        <f t="shared" si="87"/>
        <v>6</v>
      </c>
      <c r="P938" s="1">
        <f t="shared" si="88"/>
        <v>25</v>
      </c>
      <c r="Q938" s="1">
        <f>ROUND(G938*H938*VLOOKUP(D938,'Cost Product'!A$1:C$21,3,FALSE),0)</f>
        <v>14</v>
      </c>
      <c r="R938" s="1">
        <f t="shared" si="89"/>
        <v>11</v>
      </c>
    </row>
    <row r="939" spans="1:18" x14ac:dyDescent="0.25">
      <c r="A939" s="1" t="s">
        <v>1913</v>
      </c>
      <c r="B939" t="s">
        <v>1914</v>
      </c>
      <c r="C939" t="s">
        <v>65</v>
      </c>
      <c r="D939" t="s">
        <v>99</v>
      </c>
      <c r="E939" s="4">
        <v>45258</v>
      </c>
      <c r="F939" s="4">
        <v>45260</v>
      </c>
      <c r="G939" s="1">
        <v>2</v>
      </c>
      <c r="H939" s="1">
        <v>4</v>
      </c>
      <c r="I939" t="s">
        <v>13</v>
      </c>
      <c r="J939" t="s">
        <v>2144</v>
      </c>
      <c r="K939" t="s">
        <v>19</v>
      </c>
      <c r="L939" s="1" t="str">
        <f t="shared" si="84"/>
        <v>2023</v>
      </c>
      <c r="M939" t="str">
        <f t="shared" si="85"/>
        <v>Nov</v>
      </c>
      <c r="N939" t="str">
        <f t="shared" si="86"/>
        <v>Tue</v>
      </c>
      <c r="O939" s="1">
        <f t="shared" si="87"/>
        <v>2</v>
      </c>
      <c r="P939" s="1">
        <f t="shared" si="88"/>
        <v>8</v>
      </c>
      <c r="Q939" s="1">
        <f>ROUND(G939*H939*VLOOKUP(D939,'Cost Product'!A$1:C$21,3,FALSE),0)</f>
        <v>4</v>
      </c>
      <c r="R939" s="1">
        <f t="shared" si="89"/>
        <v>4</v>
      </c>
    </row>
    <row r="940" spans="1:18" x14ac:dyDescent="0.25">
      <c r="A940" s="1" t="s">
        <v>1915</v>
      </c>
      <c r="B940" t="s">
        <v>1916</v>
      </c>
      <c r="C940" t="s">
        <v>17</v>
      </c>
      <c r="D940" t="s">
        <v>18</v>
      </c>
      <c r="E940" s="4">
        <v>45158</v>
      </c>
      <c r="F940" s="4">
        <v>45159</v>
      </c>
      <c r="G940" s="1">
        <v>1</v>
      </c>
      <c r="H940" s="1">
        <v>5.5</v>
      </c>
      <c r="I940" t="s">
        <v>13</v>
      </c>
      <c r="J940" t="s">
        <v>2141</v>
      </c>
      <c r="K940" t="s">
        <v>19</v>
      </c>
      <c r="L940" s="1" t="str">
        <f t="shared" si="84"/>
        <v>2023</v>
      </c>
      <c r="M940" t="str">
        <f t="shared" si="85"/>
        <v>Aug</v>
      </c>
      <c r="N940" t="str">
        <f t="shared" si="86"/>
        <v>Sun</v>
      </c>
      <c r="O940" s="1">
        <f t="shared" si="87"/>
        <v>1</v>
      </c>
      <c r="P940" s="1">
        <f t="shared" si="88"/>
        <v>5.5</v>
      </c>
      <c r="Q940" s="1">
        <f>ROUND(G940*H940*VLOOKUP(D940,'Cost Product'!A$1:C$21,3,FALSE),0)</f>
        <v>3</v>
      </c>
      <c r="R940" s="1">
        <f t="shared" si="89"/>
        <v>2.5</v>
      </c>
    </row>
    <row r="941" spans="1:18" x14ac:dyDescent="0.25">
      <c r="A941" s="1" t="s">
        <v>1917</v>
      </c>
      <c r="B941" t="s">
        <v>1918</v>
      </c>
      <c r="C941" t="s">
        <v>22</v>
      </c>
      <c r="D941" t="s">
        <v>62</v>
      </c>
      <c r="E941" s="4">
        <v>45184</v>
      </c>
      <c r="F941" s="4">
        <v>45187</v>
      </c>
      <c r="G941" s="1">
        <v>5</v>
      </c>
      <c r="H941" s="1">
        <v>8</v>
      </c>
      <c r="I941" t="s">
        <v>13</v>
      </c>
      <c r="J941" t="s">
        <v>2143</v>
      </c>
      <c r="K941" t="s">
        <v>14</v>
      </c>
      <c r="L941" s="1" t="str">
        <f t="shared" si="84"/>
        <v>2023</v>
      </c>
      <c r="M941" t="str">
        <f t="shared" si="85"/>
        <v>Sep</v>
      </c>
      <c r="N941" t="str">
        <f t="shared" si="86"/>
        <v>Fri</v>
      </c>
      <c r="O941" s="1">
        <f t="shared" si="87"/>
        <v>3</v>
      </c>
      <c r="P941" s="1">
        <f t="shared" si="88"/>
        <v>40</v>
      </c>
      <c r="Q941" s="1">
        <f>ROUND(G941*H941*VLOOKUP(D941,'Cost Product'!A$1:C$21,3,FALSE),0)</f>
        <v>23</v>
      </c>
      <c r="R941" s="1">
        <f t="shared" si="89"/>
        <v>17</v>
      </c>
    </row>
    <row r="942" spans="1:18" x14ac:dyDescent="0.25">
      <c r="A942" s="1" t="s">
        <v>1919</v>
      </c>
      <c r="B942" t="s">
        <v>1920</v>
      </c>
      <c r="C942" t="s">
        <v>26</v>
      </c>
      <c r="D942" t="s">
        <v>45</v>
      </c>
      <c r="E942" s="4">
        <v>45335</v>
      </c>
      <c r="F942" s="4">
        <v>45338</v>
      </c>
      <c r="G942" s="1">
        <v>3</v>
      </c>
      <c r="H942" s="1">
        <v>4.5</v>
      </c>
      <c r="I942" t="s">
        <v>13</v>
      </c>
      <c r="J942" t="s">
        <v>2142</v>
      </c>
      <c r="K942" t="s">
        <v>28</v>
      </c>
      <c r="L942" s="1" t="str">
        <f t="shared" si="84"/>
        <v>2024</v>
      </c>
      <c r="M942" t="str">
        <f t="shared" si="85"/>
        <v>Feb</v>
      </c>
      <c r="N942" t="str">
        <f t="shared" si="86"/>
        <v>Tue</v>
      </c>
      <c r="O942" s="1">
        <f t="shared" si="87"/>
        <v>3</v>
      </c>
      <c r="P942" s="1">
        <f t="shared" si="88"/>
        <v>13.5</v>
      </c>
      <c r="Q942" s="1">
        <f>ROUND(G942*H942*VLOOKUP(D942,'Cost Product'!A$1:C$21,3,FALSE),0)</f>
        <v>7</v>
      </c>
      <c r="R942" s="1">
        <f t="shared" si="89"/>
        <v>6.5</v>
      </c>
    </row>
    <row r="943" spans="1:18" x14ac:dyDescent="0.25">
      <c r="A943" s="1" t="s">
        <v>1921</v>
      </c>
      <c r="B943" t="s">
        <v>1922</v>
      </c>
      <c r="C943" t="s">
        <v>11</v>
      </c>
      <c r="D943" s="3" t="s">
        <v>12</v>
      </c>
      <c r="E943" s="4">
        <v>45358</v>
      </c>
      <c r="F943" s="4">
        <v>45361</v>
      </c>
      <c r="G943" s="1">
        <v>5</v>
      </c>
      <c r="H943" s="1">
        <f>VLOOKUP(D943, 'Cost Product'!$A$2:$C$21, 2, FALSE)</f>
        <v>6.5</v>
      </c>
      <c r="I943" t="s">
        <v>13</v>
      </c>
      <c r="J943" t="s">
        <v>2145</v>
      </c>
      <c r="K943" t="s">
        <v>19</v>
      </c>
      <c r="L943" s="1" t="str">
        <f t="shared" si="84"/>
        <v>2024</v>
      </c>
      <c r="M943" t="str">
        <f t="shared" si="85"/>
        <v>Mar</v>
      </c>
      <c r="N943" t="str">
        <f t="shared" si="86"/>
        <v>Thu</v>
      </c>
      <c r="O943" s="1">
        <f t="shared" si="87"/>
        <v>3</v>
      </c>
      <c r="P943" s="1">
        <f t="shared" si="88"/>
        <v>32.5</v>
      </c>
      <c r="Q943" s="1">
        <f>ROUND(G943*H943*VLOOKUP(D943,'Cost Product'!A$1:C$21,3,FALSE),0)</f>
        <v>19</v>
      </c>
      <c r="R943" s="1">
        <f t="shared" si="89"/>
        <v>13.5</v>
      </c>
    </row>
    <row r="944" spans="1:18" x14ac:dyDescent="0.25">
      <c r="A944" s="1" t="s">
        <v>1923</v>
      </c>
      <c r="B944" t="s">
        <v>1924</v>
      </c>
      <c r="C944" t="s">
        <v>17</v>
      </c>
      <c r="D944" t="s">
        <v>79</v>
      </c>
      <c r="E944" s="4">
        <v>45190</v>
      </c>
      <c r="F944" s="4">
        <v>45193</v>
      </c>
      <c r="G944" s="1">
        <v>2</v>
      </c>
      <c r="H944" s="1">
        <v>5</v>
      </c>
      <c r="I944" t="s">
        <v>13</v>
      </c>
      <c r="J944" t="s">
        <v>2141</v>
      </c>
      <c r="K944" t="s">
        <v>28</v>
      </c>
      <c r="L944" s="1" t="str">
        <f t="shared" si="84"/>
        <v>2023</v>
      </c>
      <c r="M944" t="str">
        <f t="shared" si="85"/>
        <v>Sep</v>
      </c>
      <c r="N944" t="str">
        <f t="shared" si="86"/>
        <v>Thu</v>
      </c>
      <c r="O944" s="1">
        <f t="shared" si="87"/>
        <v>3</v>
      </c>
      <c r="P944" s="1">
        <f t="shared" si="88"/>
        <v>10</v>
      </c>
      <c r="Q944" s="1">
        <f>ROUND(G944*H944*VLOOKUP(D944,'Cost Product'!A$1:C$21,3,FALSE),0)</f>
        <v>6</v>
      </c>
      <c r="R944" s="1">
        <f t="shared" si="89"/>
        <v>4</v>
      </c>
    </row>
    <row r="945" spans="1:18" x14ac:dyDescent="0.25">
      <c r="A945" s="1" t="s">
        <v>1925</v>
      </c>
      <c r="B945" t="s">
        <v>1926</v>
      </c>
      <c r="C945" t="s">
        <v>17</v>
      </c>
      <c r="D945" t="s">
        <v>79</v>
      </c>
      <c r="E945" s="4">
        <v>45216</v>
      </c>
      <c r="F945" s="4">
        <v>45219</v>
      </c>
      <c r="G945" s="1">
        <v>4</v>
      </c>
      <c r="H945" s="1">
        <v>5</v>
      </c>
      <c r="I945" t="s">
        <v>40</v>
      </c>
      <c r="J945" t="s">
        <v>2142</v>
      </c>
      <c r="K945" t="s">
        <v>28</v>
      </c>
      <c r="L945" s="1" t="str">
        <f t="shared" si="84"/>
        <v>2023</v>
      </c>
      <c r="M945" t="str">
        <f t="shared" si="85"/>
        <v>Oct</v>
      </c>
      <c r="N945" t="str">
        <f t="shared" si="86"/>
        <v>Tue</v>
      </c>
      <c r="O945" s="1">
        <f t="shared" si="87"/>
        <v>3</v>
      </c>
      <c r="P945" s="1">
        <f t="shared" si="88"/>
        <v>20</v>
      </c>
      <c r="Q945" s="1">
        <f>ROUND(G945*H945*VLOOKUP(D945,'Cost Product'!A$1:C$21,3,FALSE),0)</f>
        <v>11</v>
      </c>
      <c r="R945" s="1">
        <f t="shared" si="89"/>
        <v>9</v>
      </c>
    </row>
    <row r="946" spans="1:18" x14ac:dyDescent="0.25">
      <c r="A946" s="1" t="s">
        <v>1927</v>
      </c>
      <c r="B946" t="s">
        <v>1928</v>
      </c>
      <c r="C946" t="s">
        <v>26</v>
      </c>
      <c r="D946" s="3" t="s">
        <v>82</v>
      </c>
      <c r="E946" s="4">
        <v>45115</v>
      </c>
      <c r="F946" s="4">
        <v>45121</v>
      </c>
      <c r="G946" s="1">
        <v>2</v>
      </c>
      <c r="H946" s="1">
        <f>VLOOKUP(D946, 'Cost Product'!$A$2:$C$21, 2, FALSE)</f>
        <v>4.25</v>
      </c>
      <c r="I946" t="s">
        <v>13</v>
      </c>
      <c r="J946" t="s">
        <v>2143</v>
      </c>
      <c r="K946" t="s">
        <v>28</v>
      </c>
      <c r="L946" s="1" t="str">
        <f t="shared" si="84"/>
        <v>2023</v>
      </c>
      <c r="M946" t="str">
        <f t="shared" si="85"/>
        <v>Jul</v>
      </c>
      <c r="N946" t="str">
        <f t="shared" si="86"/>
        <v>Sat</v>
      </c>
      <c r="O946" s="1">
        <f t="shared" si="87"/>
        <v>6</v>
      </c>
      <c r="P946" s="1">
        <f t="shared" si="88"/>
        <v>8.5</v>
      </c>
      <c r="Q946" s="1">
        <f>ROUND(G946*H946*VLOOKUP(D946,'Cost Product'!A$1:C$21,3,FALSE),0)</f>
        <v>4</v>
      </c>
      <c r="R946" s="1">
        <f t="shared" si="89"/>
        <v>4.5</v>
      </c>
    </row>
    <row r="947" spans="1:18" x14ac:dyDescent="0.25">
      <c r="A947" s="1" t="s">
        <v>1929</v>
      </c>
      <c r="B947" t="s">
        <v>1930</v>
      </c>
      <c r="C947" t="s">
        <v>65</v>
      </c>
      <c r="D947" t="s">
        <v>66</v>
      </c>
      <c r="E947" s="4">
        <v>45149</v>
      </c>
      <c r="F947" s="4">
        <v>45152</v>
      </c>
      <c r="G947" s="1">
        <v>1</v>
      </c>
      <c r="H947" s="1">
        <v>3.5</v>
      </c>
      <c r="I947" t="s">
        <v>13</v>
      </c>
      <c r="J947" t="s">
        <v>2142</v>
      </c>
      <c r="K947" t="s">
        <v>28</v>
      </c>
      <c r="L947" s="1" t="str">
        <f t="shared" si="84"/>
        <v>2023</v>
      </c>
      <c r="M947" t="str">
        <f t="shared" si="85"/>
        <v>Aug</v>
      </c>
      <c r="N947" t="str">
        <f t="shared" si="86"/>
        <v>Fri</v>
      </c>
      <c r="O947" s="1">
        <f t="shared" si="87"/>
        <v>3</v>
      </c>
      <c r="P947" s="1">
        <f t="shared" si="88"/>
        <v>3.5</v>
      </c>
      <c r="Q947" s="1">
        <f>ROUND(G947*H947*VLOOKUP(D947,'Cost Product'!A$1:C$21,3,FALSE),0)</f>
        <v>2</v>
      </c>
      <c r="R947" s="1">
        <f t="shared" si="89"/>
        <v>1.5</v>
      </c>
    </row>
    <row r="948" spans="1:18" x14ac:dyDescent="0.25">
      <c r="A948" s="1" t="s">
        <v>1931</v>
      </c>
      <c r="B948" t="s">
        <v>1932</v>
      </c>
      <c r="C948" t="s">
        <v>65</v>
      </c>
      <c r="D948" t="s">
        <v>99</v>
      </c>
      <c r="E948" s="4">
        <v>45287</v>
      </c>
      <c r="F948" s="4">
        <v>45292</v>
      </c>
      <c r="G948" s="1">
        <v>5</v>
      </c>
      <c r="H948" s="1">
        <v>4</v>
      </c>
      <c r="I948" t="s">
        <v>13</v>
      </c>
      <c r="J948" t="s">
        <v>2141</v>
      </c>
      <c r="K948" t="s">
        <v>28</v>
      </c>
      <c r="L948" s="1" t="str">
        <f t="shared" si="84"/>
        <v>2023</v>
      </c>
      <c r="M948" t="str">
        <f t="shared" si="85"/>
        <v>Dec</v>
      </c>
      <c r="N948" t="str">
        <f t="shared" si="86"/>
        <v>Wed</v>
      </c>
      <c r="O948" s="1">
        <f t="shared" si="87"/>
        <v>5</v>
      </c>
      <c r="P948" s="1">
        <f t="shared" si="88"/>
        <v>20</v>
      </c>
      <c r="Q948" s="1">
        <f>ROUND(G948*H948*VLOOKUP(D948,'Cost Product'!A$1:C$21,3,FALSE),0)</f>
        <v>10</v>
      </c>
      <c r="R948" s="1">
        <f t="shared" si="89"/>
        <v>10</v>
      </c>
    </row>
    <row r="949" spans="1:18" x14ac:dyDescent="0.25">
      <c r="A949" s="1" t="s">
        <v>1933</v>
      </c>
      <c r="B949" t="s">
        <v>1934</v>
      </c>
      <c r="C949" t="s">
        <v>26</v>
      </c>
      <c r="D949" t="s">
        <v>45</v>
      </c>
      <c r="E949" s="4">
        <v>45177</v>
      </c>
      <c r="F949" s="4">
        <v>45182</v>
      </c>
      <c r="G949" s="1">
        <v>5</v>
      </c>
      <c r="H949" s="1">
        <v>4.5</v>
      </c>
      <c r="I949" t="s">
        <v>13</v>
      </c>
      <c r="J949" t="s">
        <v>2141</v>
      </c>
      <c r="K949" t="s">
        <v>28</v>
      </c>
      <c r="L949" s="1" t="str">
        <f t="shared" si="84"/>
        <v>2023</v>
      </c>
      <c r="M949" t="str">
        <f t="shared" si="85"/>
        <v>Sep</v>
      </c>
      <c r="N949" t="str">
        <f t="shared" si="86"/>
        <v>Fri</v>
      </c>
      <c r="O949" s="1">
        <f t="shared" si="87"/>
        <v>5</v>
      </c>
      <c r="P949" s="1">
        <f t="shared" si="88"/>
        <v>22.5</v>
      </c>
      <c r="Q949" s="1">
        <f>ROUND(G949*H949*VLOOKUP(D949,'Cost Product'!A$1:C$21,3,FALSE),0)</f>
        <v>12</v>
      </c>
      <c r="R949" s="1">
        <f t="shared" si="89"/>
        <v>10.5</v>
      </c>
    </row>
    <row r="950" spans="1:18" x14ac:dyDescent="0.25">
      <c r="A950" s="1" t="s">
        <v>1935</v>
      </c>
      <c r="B950" t="s">
        <v>1936</v>
      </c>
      <c r="C950" t="s">
        <v>17</v>
      </c>
      <c r="D950" s="3" t="s">
        <v>18</v>
      </c>
      <c r="E950" s="4">
        <v>45492</v>
      </c>
      <c r="F950" s="4">
        <v>45494</v>
      </c>
      <c r="G950" s="1">
        <v>4</v>
      </c>
      <c r="H950" s="1">
        <f>VLOOKUP(D950, 'Cost Product'!$A$2:$C$21, 2, FALSE)</f>
        <v>5.5</v>
      </c>
      <c r="I950" t="s">
        <v>13</v>
      </c>
      <c r="J950" t="s">
        <v>2144</v>
      </c>
      <c r="K950" t="s">
        <v>19</v>
      </c>
      <c r="L950" s="1" t="str">
        <f t="shared" si="84"/>
        <v>2024</v>
      </c>
      <c r="M950" t="str">
        <f t="shared" si="85"/>
        <v>Jul</v>
      </c>
      <c r="N950" t="str">
        <f t="shared" si="86"/>
        <v>Fri</v>
      </c>
      <c r="O950" s="1">
        <f t="shared" si="87"/>
        <v>2</v>
      </c>
      <c r="P950" s="1">
        <f t="shared" si="88"/>
        <v>22</v>
      </c>
      <c r="Q950" s="1">
        <f>ROUND(G950*H950*VLOOKUP(D950,'Cost Product'!A$1:C$21,3,FALSE),0)</f>
        <v>13</v>
      </c>
      <c r="R950" s="1">
        <f t="shared" si="89"/>
        <v>9</v>
      </c>
    </row>
    <row r="951" spans="1:18" x14ac:dyDescent="0.25">
      <c r="A951" s="1" t="s">
        <v>1937</v>
      </c>
      <c r="B951" t="s">
        <v>1938</v>
      </c>
      <c r="C951" t="s">
        <v>17</v>
      </c>
      <c r="D951" t="s">
        <v>53</v>
      </c>
      <c r="E951" s="4">
        <v>45124</v>
      </c>
      <c r="F951" s="4">
        <v>45138</v>
      </c>
      <c r="G951" s="1">
        <v>4</v>
      </c>
      <c r="H951" s="1">
        <v>4.75</v>
      </c>
      <c r="I951" t="s">
        <v>13</v>
      </c>
      <c r="J951" t="s">
        <v>2141</v>
      </c>
      <c r="K951" t="s">
        <v>28</v>
      </c>
      <c r="L951" s="1" t="str">
        <f t="shared" si="84"/>
        <v>2023</v>
      </c>
      <c r="M951" t="str">
        <f t="shared" si="85"/>
        <v>Jul</v>
      </c>
      <c r="N951" t="str">
        <f t="shared" si="86"/>
        <v>Mon</v>
      </c>
      <c r="O951" s="1">
        <f t="shared" si="87"/>
        <v>14</v>
      </c>
      <c r="P951" s="1">
        <f t="shared" si="88"/>
        <v>19</v>
      </c>
      <c r="Q951" s="1">
        <f>ROUND(G951*H951*VLOOKUP(D951,'Cost Product'!A$1:C$21,3,FALSE),0)</f>
        <v>10</v>
      </c>
      <c r="R951" s="1">
        <f t="shared" si="89"/>
        <v>9</v>
      </c>
    </row>
    <row r="952" spans="1:18" x14ac:dyDescent="0.25">
      <c r="A952" s="1" t="s">
        <v>1939</v>
      </c>
      <c r="B952" t="s">
        <v>1940</v>
      </c>
      <c r="C952" t="s">
        <v>11</v>
      </c>
      <c r="D952" t="s">
        <v>12</v>
      </c>
      <c r="E952" s="4">
        <v>45256</v>
      </c>
      <c r="F952" s="4">
        <v>45259</v>
      </c>
      <c r="G952" s="1">
        <v>4</v>
      </c>
      <c r="H952" s="1">
        <v>6.5</v>
      </c>
      <c r="I952" t="s">
        <v>13</v>
      </c>
      <c r="J952" t="s">
        <v>2141</v>
      </c>
      <c r="K952" t="s">
        <v>28</v>
      </c>
      <c r="L952" s="1" t="str">
        <f t="shared" si="84"/>
        <v>2023</v>
      </c>
      <c r="M952" t="str">
        <f t="shared" si="85"/>
        <v>Nov</v>
      </c>
      <c r="N952" t="str">
        <f t="shared" si="86"/>
        <v>Sun</v>
      </c>
      <c r="O952" s="1">
        <f t="shared" si="87"/>
        <v>3</v>
      </c>
      <c r="P952" s="1">
        <f t="shared" si="88"/>
        <v>26</v>
      </c>
      <c r="Q952" s="1">
        <f>ROUND(G952*H952*VLOOKUP(D952,'Cost Product'!A$1:C$21,3,FALSE),0)</f>
        <v>15</v>
      </c>
      <c r="R952" s="1">
        <f t="shared" si="89"/>
        <v>11</v>
      </c>
    </row>
    <row r="953" spans="1:18" x14ac:dyDescent="0.25">
      <c r="A953" s="1" t="s">
        <v>1941</v>
      </c>
      <c r="B953" t="s">
        <v>1942</v>
      </c>
      <c r="C953" t="s">
        <v>22</v>
      </c>
      <c r="D953" t="s">
        <v>23</v>
      </c>
      <c r="E953" s="4">
        <v>45110</v>
      </c>
      <c r="F953" s="4">
        <v>45117</v>
      </c>
      <c r="G953" s="1">
        <v>4</v>
      </c>
      <c r="H953" s="1">
        <v>10</v>
      </c>
      <c r="I953" t="s">
        <v>13</v>
      </c>
      <c r="J953" t="s">
        <v>2142</v>
      </c>
      <c r="K953" t="s">
        <v>19</v>
      </c>
      <c r="L953" s="1" t="str">
        <f t="shared" si="84"/>
        <v>2023</v>
      </c>
      <c r="M953" t="str">
        <f t="shared" si="85"/>
        <v>Jul</v>
      </c>
      <c r="N953" t="str">
        <f t="shared" si="86"/>
        <v>Mon</v>
      </c>
      <c r="O953" s="1">
        <f t="shared" si="87"/>
        <v>7</v>
      </c>
      <c r="P953" s="1">
        <f t="shared" si="88"/>
        <v>40</v>
      </c>
      <c r="Q953" s="1">
        <f>ROUND(G953*H953*VLOOKUP(D953,'Cost Product'!A$1:C$21,3,FALSE),0)</f>
        <v>26</v>
      </c>
      <c r="R953" s="1">
        <f t="shared" si="89"/>
        <v>14</v>
      </c>
    </row>
    <row r="954" spans="1:18" x14ac:dyDescent="0.25">
      <c r="A954" s="1" t="s">
        <v>1943</v>
      </c>
      <c r="B954" t="s">
        <v>1944</v>
      </c>
      <c r="C954" t="s">
        <v>26</v>
      </c>
      <c r="D954" s="3" t="s">
        <v>27</v>
      </c>
      <c r="E954" s="4">
        <v>45361</v>
      </c>
      <c r="F954" s="4">
        <v>45363</v>
      </c>
      <c r="G954" s="1">
        <v>5</v>
      </c>
      <c r="H954" s="1">
        <f>VLOOKUP(D954, 'Cost Product'!$A$2:$C$21, 2, FALSE)</f>
        <v>4.75</v>
      </c>
      <c r="I954" t="s">
        <v>13</v>
      </c>
      <c r="J954" t="s">
        <v>2144</v>
      </c>
      <c r="K954" t="s">
        <v>19</v>
      </c>
      <c r="L954" s="1" t="str">
        <f t="shared" si="84"/>
        <v>2024</v>
      </c>
      <c r="M954" t="str">
        <f t="shared" si="85"/>
        <v>Mar</v>
      </c>
      <c r="N954" t="str">
        <f t="shared" si="86"/>
        <v>Sun</v>
      </c>
      <c r="O954" s="1">
        <f t="shared" si="87"/>
        <v>2</v>
      </c>
      <c r="P954" s="1">
        <f t="shared" si="88"/>
        <v>23.75</v>
      </c>
      <c r="Q954" s="1">
        <f>ROUND(G954*H954*VLOOKUP(D954,'Cost Product'!A$1:C$21,3,FALSE),0)</f>
        <v>13</v>
      </c>
      <c r="R954" s="1">
        <f t="shared" si="89"/>
        <v>10.75</v>
      </c>
    </row>
    <row r="955" spans="1:18" x14ac:dyDescent="0.25">
      <c r="A955" s="1" t="s">
        <v>1945</v>
      </c>
      <c r="B955" t="s">
        <v>1946</v>
      </c>
      <c r="C955" t="s">
        <v>17</v>
      </c>
      <c r="D955" t="s">
        <v>53</v>
      </c>
      <c r="E955" s="4">
        <v>45466</v>
      </c>
      <c r="F955" s="4">
        <v>45468</v>
      </c>
      <c r="G955" s="1">
        <v>1</v>
      </c>
      <c r="H955" s="1">
        <v>4.75</v>
      </c>
      <c r="I955" t="s">
        <v>13</v>
      </c>
      <c r="J955" t="s">
        <v>2142</v>
      </c>
      <c r="K955" t="s">
        <v>19</v>
      </c>
      <c r="L955" s="1" t="str">
        <f t="shared" si="84"/>
        <v>2024</v>
      </c>
      <c r="M955" t="str">
        <f t="shared" si="85"/>
        <v>Jun</v>
      </c>
      <c r="N955" t="str">
        <f t="shared" si="86"/>
        <v>Sun</v>
      </c>
      <c r="O955" s="1">
        <f t="shared" si="87"/>
        <v>2</v>
      </c>
      <c r="P955" s="1">
        <f t="shared" si="88"/>
        <v>4.75</v>
      </c>
      <c r="Q955" s="1">
        <f>ROUND(G955*H955*VLOOKUP(D955,'Cost Product'!A$1:C$21,3,FALSE),0)</f>
        <v>3</v>
      </c>
      <c r="R955" s="1">
        <f t="shared" si="89"/>
        <v>1.75</v>
      </c>
    </row>
    <row r="956" spans="1:18" x14ac:dyDescent="0.25">
      <c r="A956" s="1" t="s">
        <v>1947</v>
      </c>
      <c r="B956" t="s">
        <v>1948</v>
      </c>
      <c r="C956" t="s">
        <v>22</v>
      </c>
      <c r="D956" t="s">
        <v>23</v>
      </c>
      <c r="E956" s="4">
        <v>45572</v>
      </c>
      <c r="F956" s="4">
        <v>45575</v>
      </c>
      <c r="G956" s="1">
        <v>4</v>
      </c>
      <c r="H956" s="1">
        <v>10</v>
      </c>
      <c r="I956" t="s">
        <v>13</v>
      </c>
      <c r="J956" t="s">
        <v>2146</v>
      </c>
      <c r="K956" t="s">
        <v>28</v>
      </c>
      <c r="L956" s="1" t="str">
        <f t="shared" si="84"/>
        <v>2024</v>
      </c>
      <c r="M956" t="str">
        <f t="shared" si="85"/>
        <v>Oct</v>
      </c>
      <c r="N956" t="str">
        <f t="shared" si="86"/>
        <v>Mon</v>
      </c>
      <c r="O956" s="1">
        <f t="shared" si="87"/>
        <v>3</v>
      </c>
      <c r="P956" s="1">
        <f t="shared" si="88"/>
        <v>40</v>
      </c>
      <c r="Q956" s="1">
        <f>ROUND(G956*H956*VLOOKUP(D956,'Cost Product'!A$1:C$21,3,FALSE),0)</f>
        <v>26</v>
      </c>
      <c r="R956" s="1">
        <f t="shared" si="89"/>
        <v>14</v>
      </c>
    </row>
    <row r="957" spans="1:18" x14ac:dyDescent="0.25">
      <c r="A957" s="1" t="s">
        <v>1949</v>
      </c>
      <c r="B957" t="s">
        <v>1950</v>
      </c>
      <c r="C957" t="s">
        <v>65</v>
      </c>
      <c r="D957" t="s">
        <v>99</v>
      </c>
      <c r="E957" s="4">
        <v>45452</v>
      </c>
      <c r="F957" s="4">
        <v>45464</v>
      </c>
      <c r="G957" s="1">
        <v>4</v>
      </c>
      <c r="H957" s="1">
        <v>4</v>
      </c>
      <c r="I957" t="s">
        <v>13</v>
      </c>
      <c r="J957" t="s">
        <v>2142</v>
      </c>
      <c r="K957" t="s">
        <v>14</v>
      </c>
      <c r="L957" s="1" t="str">
        <f t="shared" si="84"/>
        <v>2024</v>
      </c>
      <c r="M957" t="str">
        <f t="shared" si="85"/>
        <v>Jun</v>
      </c>
      <c r="N957" t="str">
        <f t="shared" si="86"/>
        <v>Sun</v>
      </c>
      <c r="O957" s="1">
        <f t="shared" si="87"/>
        <v>12</v>
      </c>
      <c r="P957" s="1">
        <f t="shared" si="88"/>
        <v>16</v>
      </c>
      <c r="Q957" s="1">
        <f>ROUND(G957*H957*VLOOKUP(D957,'Cost Product'!A$1:C$21,3,FALSE),0)</f>
        <v>8</v>
      </c>
      <c r="R957" s="1">
        <f t="shared" si="89"/>
        <v>8</v>
      </c>
    </row>
    <row r="958" spans="1:18" x14ac:dyDescent="0.25">
      <c r="A958" s="1" t="s">
        <v>1951</v>
      </c>
      <c r="B958" t="s">
        <v>1952</v>
      </c>
      <c r="C958" t="s">
        <v>65</v>
      </c>
      <c r="D958" t="s">
        <v>115</v>
      </c>
      <c r="E958" s="4">
        <v>45153</v>
      </c>
      <c r="F958" s="4">
        <v>45154</v>
      </c>
      <c r="G958" s="1">
        <v>3</v>
      </c>
      <c r="H958" s="1">
        <v>3</v>
      </c>
      <c r="I958" t="s">
        <v>13</v>
      </c>
      <c r="J958" t="s">
        <v>2141</v>
      </c>
      <c r="K958" t="s">
        <v>19</v>
      </c>
      <c r="L958" s="1" t="str">
        <f t="shared" si="84"/>
        <v>2023</v>
      </c>
      <c r="M958" t="str">
        <f t="shared" si="85"/>
        <v>Aug</v>
      </c>
      <c r="N958" t="str">
        <f t="shared" si="86"/>
        <v>Tue</v>
      </c>
      <c r="O958" s="1">
        <f t="shared" si="87"/>
        <v>1</v>
      </c>
      <c r="P958" s="1">
        <f t="shared" si="88"/>
        <v>9</v>
      </c>
      <c r="Q958" s="1">
        <f>ROUND(G958*H958*VLOOKUP(D958,'Cost Product'!A$1:C$21,3,FALSE),0)</f>
        <v>4</v>
      </c>
      <c r="R958" s="1">
        <f t="shared" si="89"/>
        <v>5</v>
      </c>
    </row>
    <row r="959" spans="1:18" x14ac:dyDescent="0.25">
      <c r="A959" s="1" t="s">
        <v>1953</v>
      </c>
      <c r="B959" t="s">
        <v>1954</v>
      </c>
      <c r="C959" t="s">
        <v>26</v>
      </c>
      <c r="D959" t="s">
        <v>27</v>
      </c>
      <c r="E959" s="4">
        <v>45498</v>
      </c>
      <c r="F959" s="4">
        <v>45501</v>
      </c>
      <c r="G959" s="1">
        <v>2</v>
      </c>
      <c r="H959" s="1">
        <v>4.75</v>
      </c>
      <c r="I959" t="s">
        <v>13</v>
      </c>
      <c r="J959" t="s">
        <v>2142</v>
      </c>
      <c r="K959" t="s">
        <v>14</v>
      </c>
      <c r="L959" s="1" t="str">
        <f t="shared" si="84"/>
        <v>2024</v>
      </c>
      <c r="M959" t="str">
        <f t="shared" si="85"/>
        <v>Jul</v>
      </c>
      <c r="N959" t="str">
        <f t="shared" si="86"/>
        <v>Thu</v>
      </c>
      <c r="O959" s="1">
        <f t="shared" si="87"/>
        <v>3</v>
      </c>
      <c r="P959" s="1">
        <f t="shared" si="88"/>
        <v>9.5</v>
      </c>
      <c r="Q959" s="1">
        <f>ROUND(G959*H959*VLOOKUP(D959,'Cost Product'!A$1:C$21,3,FALSE),0)</f>
        <v>5</v>
      </c>
      <c r="R959" s="1">
        <f t="shared" si="89"/>
        <v>4.5</v>
      </c>
    </row>
    <row r="960" spans="1:18" x14ac:dyDescent="0.25">
      <c r="A960" s="1" t="s">
        <v>1955</v>
      </c>
      <c r="B960" t="s">
        <v>1956</v>
      </c>
      <c r="C960" t="s">
        <v>22</v>
      </c>
      <c r="D960" s="3" t="s">
        <v>59</v>
      </c>
      <c r="E960" s="4">
        <v>45359</v>
      </c>
      <c r="F960" s="4">
        <v>45361</v>
      </c>
      <c r="G960" s="1">
        <v>1</v>
      </c>
      <c r="H960" s="1">
        <f>VLOOKUP(D960, 'Cost Product'!$A$2:$C$21, 2, FALSE)</f>
        <v>8.5</v>
      </c>
      <c r="I960" t="s">
        <v>13</v>
      </c>
      <c r="J960" t="s">
        <v>2142</v>
      </c>
      <c r="K960" t="s">
        <v>19</v>
      </c>
      <c r="L960" s="1" t="str">
        <f t="shared" si="84"/>
        <v>2024</v>
      </c>
      <c r="M960" t="str">
        <f t="shared" si="85"/>
        <v>Mar</v>
      </c>
      <c r="N960" t="str">
        <f t="shared" si="86"/>
        <v>Fri</v>
      </c>
      <c r="O960" s="1">
        <f t="shared" si="87"/>
        <v>2</v>
      </c>
      <c r="P960" s="1">
        <f t="shared" si="88"/>
        <v>8.5</v>
      </c>
      <c r="Q960" s="1">
        <f>ROUND(G960*H960*VLOOKUP(D960,'Cost Product'!A$1:C$21,3,FALSE),0)</f>
        <v>5</v>
      </c>
      <c r="R960" s="1">
        <f t="shared" si="89"/>
        <v>3.5</v>
      </c>
    </row>
    <row r="961" spans="1:18" x14ac:dyDescent="0.25">
      <c r="A961" s="1" t="s">
        <v>1957</v>
      </c>
      <c r="B961" t="s">
        <v>1958</v>
      </c>
      <c r="C961" t="s">
        <v>65</v>
      </c>
      <c r="D961" t="s">
        <v>115</v>
      </c>
      <c r="E961" s="4">
        <v>45339</v>
      </c>
      <c r="F961" s="4">
        <v>45347</v>
      </c>
      <c r="G961" s="1">
        <v>2</v>
      </c>
      <c r="H961" s="1">
        <v>3</v>
      </c>
      <c r="I961" t="s">
        <v>13</v>
      </c>
      <c r="J961" t="s">
        <v>2141</v>
      </c>
      <c r="K961" t="s">
        <v>19</v>
      </c>
      <c r="L961" s="1" t="str">
        <f t="shared" si="84"/>
        <v>2024</v>
      </c>
      <c r="M961" t="str">
        <f t="shared" si="85"/>
        <v>Feb</v>
      </c>
      <c r="N961" t="str">
        <f t="shared" si="86"/>
        <v>Sat</v>
      </c>
      <c r="O961" s="1">
        <f t="shared" si="87"/>
        <v>8</v>
      </c>
      <c r="P961" s="1">
        <f t="shared" si="88"/>
        <v>6</v>
      </c>
      <c r="Q961" s="1">
        <f>ROUND(G961*H961*VLOOKUP(D961,'Cost Product'!A$1:C$21,3,FALSE),0)</f>
        <v>3</v>
      </c>
      <c r="R961" s="1">
        <f t="shared" si="89"/>
        <v>3</v>
      </c>
    </row>
    <row r="962" spans="1:18" x14ac:dyDescent="0.25">
      <c r="A962" s="1" t="s">
        <v>1959</v>
      </c>
      <c r="B962" t="s">
        <v>1960</v>
      </c>
      <c r="C962" t="s">
        <v>22</v>
      </c>
      <c r="D962" t="s">
        <v>23</v>
      </c>
      <c r="E962" s="4">
        <v>45547</v>
      </c>
      <c r="F962" s="4">
        <v>45552</v>
      </c>
      <c r="G962" s="1">
        <v>1</v>
      </c>
      <c r="H962" s="1">
        <v>10</v>
      </c>
      <c r="I962" t="s">
        <v>40</v>
      </c>
      <c r="J962" t="s">
        <v>2143</v>
      </c>
      <c r="K962" t="s">
        <v>28</v>
      </c>
      <c r="L962" s="1" t="str">
        <f t="shared" si="84"/>
        <v>2024</v>
      </c>
      <c r="M962" t="str">
        <f t="shared" si="85"/>
        <v>Sep</v>
      </c>
      <c r="N962" t="str">
        <f t="shared" si="86"/>
        <v>Thu</v>
      </c>
      <c r="O962" s="1">
        <f t="shared" si="87"/>
        <v>5</v>
      </c>
      <c r="P962" s="1">
        <f t="shared" si="88"/>
        <v>10</v>
      </c>
      <c r="Q962" s="1">
        <f>ROUND(G962*H962*VLOOKUP(D962,'Cost Product'!A$1:C$21,3,FALSE),0)</f>
        <v>7</v>
      </c>
      <c r="R962" s="1">
        <f t="shared" si="89"/>
        <v>3</v>
      </c>
    </row>
    <row r="963" spans="1:18" x14ac:dyDescent="0.25">
      <c r="A963" s="1" t="s">
        <v>1961</v>
      </c>
      <c r="B963" t="s">
        <v>1962</v>
      </c>
      <c r="C963" t="s">
        <v>65</v>
      </c>
      <c r="D963" t="s">
        <v>120</v>
      </c>
      <c r="E963" s="4">
        <v>45238</v>
      </c>
      <c r="F963" s="4">
        <v>45241</v>
      </c>
      <c r="G963" s="1">
        <v>2</v>
      </c>
      <c r="H963" s="1">
        <v>3.75</v>
      </c>
      <c r="I963" t="s">
        <v>13</v>
      </c>
      <c r="J963" t="s">
        <v>2141</v>
      </c>
      <c r="K963" t="s">
        <v>28</v>
      </c>
      <c r="L963" s="1" t="str">
        <f t="shared" ref="L963:L1001" si="90">TEXT(E963, "YYYY")</f>
        <v>2023</v>
      </c>
      <c r="M963" t="str">
        <f t="shared" ref="M963:M1001" si="91">TEXT(E963, "MMM")</f>
        <v>Nov</v>
      </c>
      <c r="N963" t="str">
        <f t="shared" ref="N963:N1001" si="92">TEXT(E963, "DDD")</f>
        <v>Wed</v>
      </c>
      <c r="O963" s="1">
        <f t="shared" ref="O963:O1001" si="93">DATEDIF(E963, F963, "D")</f>
        <v>3</v>
      </c>
      <c r="P963" s="1">
        <f t="shared" ref="P963:P1001" si="94">G963*H963</f>
        <v>7.5</v>
      </c>
      <c r="Q963" s="1">
        <f>ROUND(G963*H963*VLOOKUP(D963,'Cost Product'!A$1:C$21,3,FALSE),0)</f>
        <v>4</v>
      </c>
      <c r="R963" s="1">
        <f t="shared" ref="R963:R1001" si="95">P963-Q963</f>
        <v>3.5</v>
      </c>
    </row>
    <row r="964" spans="1:18" x14ac:dyDescent="0.25">
      <c r="A964" s="1" t="s">
        <v>1963</v>
      </c>
      <c r="B964" t="s">
        <v>1964</v>
      </c>
      <c r="C964" t="s">
        <v>26</v>
      </c>
      <c r="D964" t="s">
        <v>82</v>
      </c>
      <c r="E964" s="4">
        <v>45279</v>
      </c>
      <c r="F964" s="4">
        <v>45281</v>
      </c>
      <c r="G964" s="1">
        <v>5</v>
      </c>
      <c r="H964" s="1">
        <v>4.25</v>
      </c>
      <c r="I964" t="s">
        <v>13</v>
      </c>
      <c r="J964" t="s">
        <v>2143</v>
      </c>
      <c r="K964" t="s">
        <v>28</v>
      </c>
      <c r="L964" s="1" t="str">
        <f t="shared" si="90"/>
        <v>2023</v>
      </c>
      <c r="M964" t="str">
        <f t="shared" si="91"/>
        <v>Dec</v>
      </c>
      <c r="N964" t="str">
        <f t="shared" si="92"/>
        <v>Tue</v>
      </c>
      <c r="O964" s="1">
        <f t="shared" si="93"/>
        <v>2</v>
      </c>
      <c r="P964" s="1">
        <f t="shared" si="94"/>
        <v>21.25</v>
      </c>
      <c r="Q964" s="1">
        <f>ROUND(G964*H964*VLOOKUP(D964,'Cost Product'!A$1:C$21,3,FALSE),0)</f>
        <v>10</v>
      </c>
      <c r="R964" s="1">
        <f t="shared" si="95"/>
        <v>11.25</v>
      </c>
    </row>
    <row r="965" spans="1:18" x14ac:dyDescent="0.25">
      <c r="A965" s="1" t="s">
        <v>1965</v>
      </c>
      <c r="B965" t="s">
        <v>1966</v>
      </c>
      <c r="C965" t="s">
        <v>17</v>
      </c>
      <c r="D965" s="3" t="s">
        <v>53</v>
      </c>
      <c r="E965" s="4">
        <v>45387</v>
      </c>
      <c r="F965" s="4">
        <v>45389</v>
      </c>
      <c r="G965" s="1">
        <v>2</v>
      </c>
      <c r="H965" s="1">
        <f>VLOOKUP(D965, 'Cost Product'!$A$2:$C$21, 2, FALSE)</f>
        <v>4.75</v>
      </c>
      <c r="I965" t="s">
        <v>13</v>
      </c>
      <c r="J965" t="s">
        <v>2142</v>
      </c>
      <c r="K965" t="s">
        <v>28</v>
      </c>
      <c r="L965" s="1" t="str">
        <f t="shared" si="90"/>
        <v>2024</v>
      </c>
      <c r="M965" t="str">
        <f t="shared" si="91"/>
        <v>Apr</v>
      </c>
      <c r="N965" t="str">
        <f t="shared" si="92"/>
        <v>Fri</v>
      </c>
      <c r="O965" s="1">
        <f t="shared" si="93"/>
        <v>2</v>
      </c>
      <c r="P965" s="1">
        <f t="shared" si="94"/>
        <v>9.5</v>
      </c>
      <c r="Q965" s="1">
        <f>ROUND(G965*H965*VLOOKUP(D965,'Cost Product'!A$1:C$21,3,FALSE),0)</f>
        <v>5</v>
      </c>
      <c r="R965" s="1">
        <f t="shared" si="95"/>
        <v>4.5</v>
      </c>
    </row>
    <row r="966" spans="1:18" x14ac:dyDescent="0.25">
      <c r="A966" s="1" t="s">
        <v>1967</v>
      </c>
      <c r="B966" t="s">
        <v>1968</v>
      </c>
      <c r="C966" t="s">
        <v>17</v>
      </c>
      <c r="D966" t="s">
        <v>18</v>
      </c>
      <c r="E966" s="4">
        <v>45459</v>
      </c>
      <c r="F966" s="4">
        <v>45464</v>
      </c>
      <c r="G966" s="1">
        <v>4</v>
      </c>
      <c r="H966" s="1">
        <v>5.5</v>
      </c>
      <c r="I966" t="s">
        <v>13</v>
      </c>
      <c r="J966" t="s">
        <v>2142</v>
      </c>
      <c r="K966" t="s">
        <v>19</v>
      </c>
      <c r="L966" s="1" t="str">
        <f t="shared" si="90"/>
        <v>2024</v>
      </c>
      <c r="M966" t="str">
        <f t="shared" si="91"/>
        <v>Jun</v>
      </c>
      <c r="N966" t="str">
        <f t="shared" si="92"/>
        <v>Sun</v>
      </c>
      <c r="O966" s="1">
        <f t="shared" si="93"/>
        <v>5</v>
      </c>
      <c r="P966" s="1">
        <f t="shared" si="94"/>
        <v>22</v>
      </c>
      <c r="Q966" s="1">
        <f>ROUND(G966*H966*VLOOKUP(D966,'Cost Product'!A$1:C$21,3,FALSE),0)</f>
        <v>13</v>
      </c>
      <c r="R966" s="1">
        <f t="shared" si="95"/>
        <v>9</v>
      </c>
    </row>
    <row r="967" spans="1:18" x14ac:dyDescent="0.25">
      <c r="A967" s="1" t="s">
        <v>1969</v>
      </c>
      <c r="B967" t="s">
        <v>1970</v>
      </c>
      <c r="C967" t="s">
        <v>65</v>
      </c>
      <c r="D967" t="s">
        <v>120</v>
      </c>
      <c r="E967" s="4">
        <v>45520</v>
      </c>
      <c r="F967" s="4">
        <v>45531</v>
      </c>
      <c r="G967" s="1">
        <v>3</v>
      </c>
      <c r="H967" s="1">
        <v>3.75</v>
      </c>
      <c r="I967" t="s">
        <v>13</v>
      </c>
      <c r="J967" t="s">
        <v>2141</v>
      </c>
      <c r="K967" t="s">
        <v>19</v>
      </c>
      <c r="L967" s="1" t="str">
        <f t="shared" si="90"/>
        <v>2024</v>
      </c>
      <c r="M967" t="str">
        <f t="shared" si="91"/>
        <v>Aug</v>
      </c>
      <c r="N967" t="str">
        <f t="shared" si="92"/>
        <v>Fri</v>
      </c>
      <c r="O967" s="1">
        <f t="shared" si="93"/>
        <v>11</v>
      </c>
      <c r="P967" s="1">
        <f t="shared" si="94"/>
        <v>11.25</v>
      </c>
      <c r="Q967" s="1">
        <f>ROUND(G967*H967*VLOOKUP(D967,'Cost Product'!A$1:C$21,3,FALSE),0)</f>
        <v>6</v>
      </c>
      <c r="R967" s="1">
        <f t="shared" si="95"/>
        <v>5.25</v>
      </c>
    </row>
    <row r="968" spans="1:18" x14ac:dyDescent="0.25">
      <c r="A968" s="1" t="s">
        <v>1971</v>
      </c>
      <c r="B968" t="s">
        <v>1972</v>
      </c>
      <c r="C968" t="s">
        <v>22</v>
      </c>
      <c r="D968" t="s">
        <v>23</v>
      </c>
      <c r="E968" s="4">
        <v>45549</v>
      </c>
      <c r="F968" s="4">
        <v>45553</v>
      </c>
      <c r="G968" s="1">
        <v>5</v>
      </c>
      <c r="H968" s="1">
        <v>10</v>
      </c>
      <c r="I968" t="s">
        <v>40</v>
      </c>
      <c r="J968" t="s">
        <v>2142</v>
      </c>
      <c r="K968" t="s">
        <v>28</v>
      </c>
      <c r="L968" s="1" t="str">
        <f t="shared" si="90"/>
        <v>2024</v>
      </c>
      <c r="M968" t="str">
        <f t="shared" si="91"/>
        <v>Sep</v>
      </c>
      <c r="N968" t="str">
        <f t="shared" si="92"/>
        <v>Sat</v>
      </c>
      <c r="O968" s="1">
        <f t="shared" si="93"/>
        <v>4</v>
      </c>
      <c r="P968" s="1">
        <f t="shared" si="94"/>
        <v>50</v>
      </c>
      <c r="Q968" s="1">
        <f>ROUND(G968*H968*VLOOKUP(D968,'Cost Product'!A$1:C$21,3,FALSE),0)</f>
        <v>33</v>
      </c>
      <c r="R968" s="1">
        <f t="shared" si="95"/>
        <v>17</v>
      </c>
    </row>
    <row r="969" spans="1:18" x14ac:dyDescent="0.25">
      <c r="A969" s="1" t="s">
        <v>1973</v>
      </c>
      <c r="B969" t="s">
        <v>1974</v>
      </c>
      <c r="C969" t="s">
        <v>26</v>
      </c>
      <c r="D969" t="s">
        <v>45</v>
      </c>
      <c r="E969" s="4">
        <v>45421</v>
      </c>
      <c r="F969" s="4">
        <v>45424</v>
      </c>
      <c r="G969" s="1">
        <v>2</v>
      </c>
      <c r="H969" s="1">
        <v>4.5</v>
      </c>
      <c r="I969" t="s">
        <v>13</v>
      </c>
      <c r="J969" t="s">
        <v>2144</v>
      </c>
      <c r="K969" t="s">
        <v>28</v>
      </c>
      <c r="L969" s="1" t="str">
        <f t="shared" si="90"/>
        <v>2024</v>
      </c>
      <c r="M969" t="str">
        <f t="shared" si="91"/>
        <v>May</v>
      </c>
      <c r="N969" t="str">
        <f t="shared" si="92"/>
        <v>Thu</v>
      </c>
      <c r="O969" s="1">
        <f t="shared" si="93"/>
        <v>3</v>
      </c>
      <c r="P969" s="1">
        <f t="shared" si="94"/>
        <v>9</v>
      </c>
      <c r="Q969" s="1">
        <f>ROUND(G969*H969*VLOOKUP(D969,'Cost Product'!A$1:C$21,3,FALSE),0)</f>
        <v>5</v>
      </c>
      <c r="R969" s="1">
        <f t="shared" si="95"/>
        <v>4</v>
      </c>
    </row>
    <row r="970" spans="1:18" x14ac:dyDescent="0.25">
      <c r="A970" s="1" t="s">
        <v>1975</v>
      </c>
      <c r="B970" t="s">
        <v>1976</v>
      </c>
      <c r="C970" t="s">
        <v>17</v>
      </c>
      <c r="D970" t="s">
        <v>50</v>
      </c>
      <c r="E970" s="4">
        <v>45188</v>
      </c>
      <c r="F970" s="4">
        <v>45190</v>
      </c>
      <c r="G970" s="1">
        <v>4</v>
      </c>
      <c r="H970" s="1">
        <v>5.25</v>
      </c>
      <c r="I970" t="s">
        <v>13</v>
      </c>
      <c r="J970" t="s">
        <v>2144</v>
      </c>
      <c r="K970" t="s">
        <v>14</v>
      </c>
      <c r="L970" s="1" t="str">
        <f t="shared" si="90"/>
        <v>2023</v>
      </c>
      <c r="M970" t="str">
        <f t="shared" si="91"/>
        <v>Sep</v>
      </c>
      <c r="N970" t="str">
        <f t="shared" si="92"/>
        <v>Tue</v>
      </c>
      <c r="O970" s="1">
        <f t="shared" si="93"/>
        <v>2</v>
      </c>
      <c r="P970" s="1">
        <f t="shared" si="94"/>
        <v>21</v>
      </c>
      <c r="Q970" s="1">
        <f>ROUND(G970*H970*VLOOKUP(D970,'Cost Product'!A$1:C$21,3,FALSE),0)</f>
        <v>12</v>
      </c>
      <c r="R970" s="1">
        <f t="shared" si="95"/>
        <v>9</v>
      </c>
    </row>
    <row r="971" spans="1:18" x14ac:dyDescent="0.25">
      <c r="A971" s="1" t="s">
        <v>1977</v>
      </c>
      <c r="B971" t="s">
        <v>1978</v>
      </c>
      <c r="C971" t="s">
        <v>22</v>
      </c>
      <c r="D971" t="s">
        <v>23</v>
      </c>
      <c r="E971" s="4">
        <v>45236</v>
      </c>
      <c r="F971" s="4">
        <v>45238</v>
      </c>
      <c r="G971" s="1">
        <v>2</v>
      </c>
      <c r="H971" s="1">
        <v>10</v>
      </c>
      <c r="I971" t="s">
        <v>13</v>
      </c>
      <c r="J971" t="s">
        <v>2142</v>
      </c>
      <c r="K971" t="s">
        <v>28</v>
      </c>
      <c r="L971" s="1" t="str">
        <f t="shared" si="90"/>
        <v>2023</v>
      </c>
      <c r="M971" t="str">
        <f t="shared" si="91"/>
        <v>Nov</v>
      </c>
      <c r="N971" t="str">
        <f t="shared" si="92"/>
        <v>Mon</v>
      </c>
      <c r="O971" s="1">
        <f t="shared" si="93"/>
        <v>2</v>
      </c>
      <c r="P971" s="1">
        <f t="shared" si="94"/>
        <v>20</v>
      </c>
      <c r="Q971" s="1">
        <f>ROUND(G971*H971*VLOOKUP(D971,'Cost Product'!A$1:C$21,3,FALSE),0)</f>
        <v>13</v>
      </c>
      <c r="R971" s="1">
        <f t="shared" si="95"/>
        <v>7</v>
      </c>
    </row>
    <row r="972" spans="1:18" x14ac:dyDescent="0.25">
      <c r="A972" s="1" t="s">
        <v>1979</v>
      </c>
      <c r="B972" t="s">
        <v>1980</v>
      </c>
      <c r="C972" t="s">
        <v>17</v>
      </c>
      <c r="D972" s="3" t="s">
        <v>50</v>
      </c>
      <c r="E972" s="4">
        <v>45489</v>
      </c>
      <c r="F972" s="4">
        <v>45492</v>
      </c>
      <c r="G972" s="1">
        <v>1</v>
      </c>
      <c r="H972" s="1">
        <f>VLOOKUP(D972, 'Cost Product'!$A$2:$C$21, 2, FALSE)</f>
        <v>5.25</v>
      </c>
      <c r="I972" t="s">
        <v>13</v>
      </c>
      <c r="J972" t="s">
        <v>2142</v>
      </c>
      <c r="K972" t="s">
        <v>28</v>
      </c>
      <c r="L972" s="1" t="str">
        <f t="shared" si="90"/>
        <v>2024</v>
      </c>
      <c r="M972" t="str">
        <f t="shared" si="91"/>
        <v>Jul</v>
      </c>
      <c r="N972" t="str">
        <f t="shared" si="92"/>
        <v>Tue</v>
      </c>
      <c r="O972" s="1">
        <f t="shared" si="93"/>
        <v>3</v>
      </c>
      <c r="P972" s="1">
        <f t="shared" si="94"/>
        <v>5.25</v>
      </c>
      <c r="Q972" s="1">
        <f>ROUND(G972*H972*VLOOKUP(D972,'Cost Product'!A$1:C$21,3,FALSE),0)</f>
        <v>3</v>
      </c>
      <c r="R972" s="1">
        <f t="shared" si="95"/>
        <v>2.25</v>
      </c>
    </row>
    <row r="973" spans="1:18" x14ac:dyDescent="0.25">
      <c r="A973" s="1" t="s">
        <v>1981</v>
      </c>
      <c r="B973" t="s">
        <v>1982</v>
      </c>
      <c r="C973" t="s">
        <v>65</v>
      </c>
      <c r="D973" t="s">
        <v>115</v>
      </c>
      <c r="E973" s="4">
        <v>45136</v>
      </c>
      <c r="F973" s="4">
        <v>45137</v>
      </c>
      <c r="G973" s="1">
        <v>3</v>
      </c>
      <c r="H973" s="1">
        <v>3</v>
      </c>
      <c r="I973" t="s">
        <v>13</v>
      </c>
      <c r="J973" t="s">
        <v>2141</v>
      </c>
      <c r="K973" t="s">
        <v>28</v>
      </c>
      <c r="L973" s="1" t="str">
        <f t="shared" si="90"/>
        <v>2023</v>
      </c>
      <c r="M973" t="str">
        <f t="shared" si="91"/>
        <v>Jul</v>
      </c>
      <c r="N973" t="str">
        <f t="shared" si="92"/>
        <v>Sat</v>
      </c>
      <c r="O973" s="1">
        <f t="shared" si="93"/>
        <v>1</v>
      </c>
      <c r="P973" s="1">
        <f t="shared" si="94"/>
        <v>9</v>
      </c>
      <c r="Q973" s="1">
        <f>ROUND(G973*H973*VLOOKUP(D973,'Cost Product'!A$1:C$21,3,FALSE),0)</f>
        <v>4</v>
      </c>
      <c r="R973" s="1">
        <f t="shared" si="95"/>
        <v>5</v>
      </c>
    </row>
    <row r="974" spans="1:18" x14ac:dyDescent="0.25">
      <c r="A974" s="1" t="s">
        <v>1983</v>
      </c>
      <c r="B974" t="s">
        <v>1984</v>
      </c>
      <c r="C974" t="s">
        <v>11</v>
      </c>
      <c r="D974" t="s">
        <v>31</v>
      </c>
      <c r="E974" s="4">
        <v>45108</v>
      </c>
      <c r="F974" s="4">
        <v>45119</v>
      </c>
      <c r="G974" s="1">
        <v>4</v>
      </c>
      <c r="H974" s="1">
        <v>5.5</v>
      </c>
      <c r="I974" t="s">
        <v>13</v>
      </c>
      <c r="J974" t="s">
        <v>2142</v>
      </c>
      <c r="K974" t="s">
        <v>19</v>
      </c>
      <c r="L974" s="1" t="str">
        <f t="shared" si="90"/>
        <v>2023</v>
      </c>
      <c r="M974" t="str">
        <f t="shared" si="91"/>
        <v>Jul</v>
      </c>
      <c r="N974" t="str">
        <f t="shared" si="92"/>
        <v>Sat</v>
      </c>
      <c r="O974" s="1">
        <f t="shared" si="93"/>
        <v>11</v>
      </c>
      <c r="P974" s="1">
        <f t="shared" si="94"/>
        <v>22</v>
      </c>
      <c r="Q974" s="1">
        <f>ROUND(G974*H974*VLOOKUP(D974,'Cost Product'!A$1:C$21,3,FALSE),0)</f>
        <v>11</v>
      </c>
      <c r="R974" s="1">
        <f t="shared" si="95"/>
        <v>11</v>
      </c>
    </row>
    <row r="975" spans="1:18" x14ac:dyDescent="0.25">
      <c r="A975" s="1" t="s">
        <v>1985</v>
      </c>
      <c r="B975" t="s">
        <v>1986</v>
      </c>
      <c r="C975" t="s">
        <v>26</v>
      </c>
      <c r="D975" t="s">
        <v>27</v>
      </c>
      <c r="E975" s="4">
        <v>45182</v>
      </c>
      <c r="F975" s="4">
        <v>45185</v>
      </c>
      <c r="G975" s="1">
        <v>5</v>
      </c>
      <c r="H975" s="1">
        <v>4.75</v>
      </c>
      <c r="I975" t="s">
        <v>13</v>
      </c>
      <c r="J975" t="s">
        <v>2145</v>
      </c>
      <c r="K975" t="s">
        <v>19</v>
      </c>
      <c r="L975" s="1" t="str">
        <f t="shared" si="90"/>
        <v>2023</v>
      </c>
      <c r="M975" t="str">
        <f t="shared" si="91"/>
        <v>Sep</v>
      </c>
      <c r="N975" t="str">
        <f t="shared" si="92"/>
        <v>Wed</v>
      </c>
      <c r="O975" s="1">
        <f t="shared" si="93"/>
        <v>3</v>
      </c>
      <c r="P975" s="1">
        <f t="shared" si="94"/>
        <v>23.75</v>
      </c>
      <c r="Q975" s="1">
        <f>ROUND(G975*H975*VLOOKUP(D975,'Cost Product'!A$1:C$21,3,FALSE),0)</f>
        <v>13</v>
      </c>
      <c r="R975" s="1">
        <f t="shared" si="95"/>
        <v>10.75</v>
      </c>
    </row>
    <row r="976" spans="1:18" x14ac:dyDescent="0.25">
      <c r="A976" s="1" t="s">
        <v>1987</v>
      </c>
      <c r="B976" t="s">
        <v>1988</v>
      </c>
      <c r="C976" t="s">
        <v>26</v>
      </c>
      <c r="D976" t="s">
        <v>82</v>
      </c>
      <c r="E976" s="4">
        <v>45434</v>
      </c>
      <c r="F976" s="4">
        <v>45436</v>
      </c>
      <c r="G976" s="1">
        <v>2</v>
      </c>
      <c r="H976" s="1">
        <v>4.25</v>
      </c>
      <c r="I976" t="s">
        <v>13</v>
      </c>
      <c r="J976" t="s">
        <v>2141</v>
      </c>
      <c r="K976" t="s">
        <v>14</v>
      </c>
      <c r="L976" s="1" t="str">
        <f t="shared" si="90"/>
        <v>2024</v>
      </c>
      <c r="M976" t="str">
        <f t="shared" si="91"/>
        <v>May</v>
      </c>
      <c r="N976" t="str">
        <f t="shared" si="92"/>
        <v>Wed</v>
      </c>
      <c r="O976" s="1">
        <f t="shared" si="93"/>
        <v>2</v>
      </c>
      <c r="P976" s="1">
        <f t="shared" si="94"/>
        <v>8.5</v>
      </c>
      <c r="Q976" s="1">
        <f>ROUND(G976*H976*VLOOKUP(D976,'Cost Product'!A$1:C$21,3,FALSE),0)</f>
        <v>4</v>
      </c>
      <c r="R976" s="1">
        <f t="shared" si="95"/>
        <v>4.5</v>
      </c>
    </row>
    <row r="977" spans="1:18" x14ac:dyDescent="0.25">
      <c r="A977" s="1" t="s">
        <v>1989</v>
      </c>
      <c r="B977" t="s">
        <v>1990</v>
      </c>
      <c r="C977" t="s">
        <v>11</v>
      </c>
      <c r="D977" t="s">
        <v>31</v>
      </c>
      <c r="E977" s="4">
        <v>45133</v>
      </c>
      <c r="F977" s="4">
        <v>45138</v>
      </c>
      <c r="G977" s="1">
        <v>3</v>
      </c>
      <c r="H977" s="1">
        <v>5.5</v>
      </c>
      <c r="I977" t="s">
        <v>13</v>
      </c>
      <c r="J977" t="s">
        <v>2141</v>
      </c>
      <c r="K977" t="s">
        <v>28</v>
      </c>
      <c r="L977" s="1" t="str">
        <f t="shared" si="90"/>
        <v>2023</v>
      </c>
      <c r="M977" t="str">
        <f t="shared" si="91"/>
        <v>Jul</v>
      </c>
      <c r="N977" t="str">
        <f t="shared" si="92"/>
        <v>Wed</v>
      </c>
      <c r="O977" s="1">
        <f t="shared" si="93"/>
        <v>5</v>
      </c>
      <c r="P977" s="1">
        <f t="shared" si="94"/>
        <v>16.5</v>
      </c>
      <c r="Q977" s="1">
        <f>ROUND(G977*H977*VLOOKUP(D977,'Cost Product'!A$1:C$21,3,FALSE),0)</f>
        <v>9</v>
      </c>
      <c r="R977" s="1">
        <f t="shared" si="95"/>
        <v>7.5</v>
      </c>
    </row>
    <row r="978" spans="1:18" x14ac:dyDescent="0.25">
      <c r="A978" s="1" t="s">
        <v>1991</v>
      </c>
      <c r="B978" t="s">
        <v>1992</v>
      </c>
      <c r="C978" t="s">
        <v>11</v>
      </c>
      <c r="D978" s="3" t="s">
        <v>12</v>
      </c>
      <c r="E978" s="4">
        <v>45322</v>
      </c>
      <c r="F978" s="4">
        <v>45323</v>
      </c>
      <c r="G978" s="1">
        <v>2</v>
      </c>
      <c r="H978" s="1">
        <f>VLOOKUP(D978, 'Cost Product'!$A$2:$C$21, 2, FALSE)</f>
        <v>6.5</v>
      </c>
      <c r="I978" t="s">
        <v>40</v>
      </c>
      <c r="J978" t="s">
        <v>2145</v>
      </c>
      <c r="K978" t="s">
        <v>14</v>
      </c>
      <c r="L978" s="1" t="str">
        <f t="shared" si="90"/>
        <v>2024</v>
      </c>
      <c r="M978" t="str">
        <f t="shared" si="91"/>
        <v>Jan</v>
      </c>
      <c r="N978" t="str">
        <f t="shared" si="92"/>
        <v>Wed</v>
      </c>
      <c r="O978" s="1">
        <f t="shared" si="93"/>
        <v>1</v>
      </c>
      <c r="P978" s="1">
        <f t="shared" si="94"/>
        <v>13</v>
      </c>
      <c r="Q978" s="1">
        <f>ROUND(G978*H978*VLOOKUP(D978,'Cost Product'!A$1:C$21,3,FALSE),0)</f>
        <v>8</v>
      </c>
      <c r="R978" s="1">
        <f t="shared" si="95"/>
        <v>5</v>
      </c>
    </row>
    <row r="979" spans="1:18" x14ac:dyDescent="0.25">
      <c r="A979" s="1" t="s">
        <v>1993</v>
      </c>
      <c r="B979" t="s">
        <v>1994</v>
      </c>
      <c r="C979" t="s">
        <v>65</v>
      </c>
      <c r="D979" t="s">
        <v>66</v>
      </c>
      <c r="E979" s="4">
        <v>45454</v>
      </c>
      <c r="F979" s="4">
        <v>45456</v>
      </c>
      <c r="G979" s="1">
        <v>2</v>
      </c>
      <c r="H979" s="1">
        <v>3.5</v>
      </c>
      <c r="I979" t="s">
        <v>13</v>
      </c>
      <c r="J979" t="s">
        <v>2141</v>
      </c>
      <c r="K979" t="s">
        <v>19</v>
      </c>
      <c r="L979" s="1" t="str">
        <f t="shared" si="90"/>
        <v>2024</v>
      </c>
      <c r="M979" t="str">
        <f t="shared" si="91"/>
        <v>Jun</v>
      </c>
      <c r="N979" t="str">
        <f t="shared" si="92"/>
        <v>Tue</v>
      </c>
      <c r="O979" s="1">
        <f t="shared" si="93"/>
        <v>2</v>
      </c>
      <c r="P979" s="1">
        <f t="shared" si="94"/>
        <v>7</v>
      </c>
      <c r="Q979" s="1">
        <f>ROUND(G979*H979*VLOOKUP(D979,'Cost Product'!A$1:C$21,3,FALSE),0)</f>
        <v>3</v>
      </c>
      <c r="R979" s="1">
        <f t="shared" si="95"/>
        <v>4</v>
      </c>
    </row>
    <row r="980" spans="1:18" x14ac:dyDescent="0.25">
      <c r="A980" s="1" t="s">
        <v>1995</v>
      </c>
      <c r="B980" t="s">
        <v>1996</v>
      </c>
      <c r="C980" t="s">
        <v>26</v>
      </c>
      <c r="D980" t="s">
        <v>82</v>
      </c>
      <c r="E980" s="4">
        <v>45353</v>
      </c>
      <c r="F980" s="4">
        <v>45358</v>
      </c>
      <c r="G980" s="1">
        <v>1</v>
      </c>
      <c r="H980" s="1">
        <v>4.25</v>
      </c>
      <c r="I980" t="s">
        <v>13</v>
      </c>
      <c r="J980" t="s">
        <v>2141</v>
      </c>
      <c r="K980" t="s">
        <v>28</v>
      </c>
      <c r="L980" s="1" t="str">
        <f t="shared" si="90"/>
        <v>2024</v>
      </c>
      <c r="M980" t="str">
        <f t="shared" si="91"/>
        <v>Mar</v>
      </c>
      <c r="N980" t="str">
        <f t="shared" si="92"/>
        <v>Sat</v>
      </c>
      <c r="O980" s="1">
        <f t="shared" si="93"/>
        <v>5</v>
      </c>
      <c r="P980" s="1">
        <f t="shared" si="94"/>
        <v>4.25</v>
      </c>
      <c r="Q980" s="1">
        <f>ROUND(G980*H980*VLOOKUP(D980,'Cost Product'!A$1:C$21,3,FALSE),0)</f>
        <v>2</v>
      </c>
      <c r="R980" s="1">
        <f t="shared" si="95"/>
        <v>2.25</v>
      </c>
    </row>
    <row r="981" spans="1:18" x14ac:dyDescent="0.25">
      <c r="A981" s="1" t="s">
        <v>1997</v>
      </c>
      <c r="B981" t="s">
        <v>1998</v>
      </c>
      <c r="C981" t="s">
        <v>17</v>
      </c>
      <c r="D981" t="s">
        <v>79</v>
      </c>
      <c r="E981" s="4">
        <v>45584</v>
      </c>
      <c r="F981" s="4">
        <v>45588</v>
      </c>
      <c r="G981" s="1">
        <v>1</v>
      </c>
      <c r="H981" s="1">
        <v>5</v>
      </c>
      <c r="I981" t="s">
        <v>13</v>
      </c>
      <c r="J981" t="s">
        <v>2141</v>
      </c>
      <c r="K981" t="s">
        <v>28</v>
      </c>
      <c r="L981" s="1" t="str">
        <f t="shared" si="90"/>
        <v>2024</v>
      </c>
      <c r="M981" t="str">
        <f t="shared" si="91"/>
        <v>Oct</v>
      </c>
      <c r="N981" t="str">
        <f t="shared" si="92"/>
        <v>Sat</v>
      </c>
      <c r="O981" s="1">
        <f t="shared" si="93"/>
        <v>4</v>
      </c>
      <c r="P981" s="1">
        <f t="shared" si="94"/>
        <v>5</v>
      </c>
      <c r="Q981" s="1">
        <f>ROUND(G981*H981*VLOOKUP(D981,'Cost Product'!A$1:C$21,3,FALSE),0)</f>
        <v>3</v>
      </c>
      <c r="R981" s="1">
        <f t="shared" si="95"/>
        <v>2</v>
      </c>
    </row>
    <row r="982" spans="1:18" x14ac:dyDescent="0.25">
      <c r="A982" s="1" t="s">
        <v>1999</v>
      </c>
      <c r="B982" t="s">
        <v>2000</v>
      </c>
      <c r="C982" t="s">
        <v>65</v>
      </c>
      <c r="D982" t="s">
        <v>115</v>
      </c>
      <c r="E982" s="4">
        <v>45165</v>
      </c>
      <c r="F982" s="4">
        <v>45169</v>
      </c>
      <c r="G982" s="1">
        <v>4</v>
      </c>
      <c r="H982" s="1">
        <v>3</v>
      </c>
      <c r="I982" t="s">
        <v>13</v>
      </c>
      <c r="J982" t="s">
        <v>2146</v>
      </c>
      <c r="K982" t="s">
        <v>28</v>
      </c>
      <c r="L982" s="1" t="str">
        <f t="shared" si="90"/>
        <v>2023</v>
      </c>
      <c r="M982" t="str">
        <f t="shared" si="91"/>
        <v>Aug</v>
      </c>
      <c r="N982" t="str">
        <f t="shared" si="92"/>
        <v>Sun</v>
      </c>
      <c r="O982" s="1">
        <f t="shared" si="93"/>
        <v>4</v>
      </c>
      <c r="P982" s="1">
        <f t="shared" si="94"/>
        <v>12</v>
      </c>
      <c r="Q982" s="1">
        <f>ROUND(G982*H982*VLOOKUP(D982,'Cost Product'!A$1:C$21,3,FALSE),0)</f>
        <v>6</v>
      </c>
      <c r="R982" s="1">
        <f t="shared" si="95"/>
        <v>6</v>
      </c>
    </row>
    <row r="983" spans="1:18" x14ac:dyDescent="0.25">
      <c r="A983" s="1" t="s">
        <v>2001</v>
      </c>
      <c r="B983" t="s">
        <v>2002</v>
      </c>
      <c r="C983" t="s">
        <v>65</v>
      </c>
      <c r="D983" t="s">
        <v>66</v>
      </c>
      <c r="E983" s="4">
        <v>45177</v>
      </c>
      <c r="F983" s="4">
        <v>45179</v>
      </c>
      <c r="G983" s="1">
        <v>3</v>
      </c>
      <c r="H983" s="1">
        <v>3.5</v>
      </c>
      <c r="I983" t="s">
        <v>13</v>
      </c>
      <c r="J983" t="s">
        <v>2144</v>
      </c>
      <c r="K983" t="s">
        <v>28</v>
      </c>
      <c r="L983" s="1" t="str">
        <f t="shared" si="90"/>
        <v>2023</v>
      </c>
      <c r="M983" t="str">
        <f t="shared" si="91"/>
        <v>Sep</v>
      </c>
      <c r="N983" t="str">
        <f t="shared" si="92"/>
        <v>Fri</v>
      </c>
      <c r="O983" s="1">
        <f t="shared" si="93"/>
        <v>2</v>
      </c>
      <c r="P983" s="1">
        <f t="shared" si="94"/>
        <v>10.5</v>
      </c>
      <c r="Q983" s="1">
        <f>ROUND(G983*H983*VLOOKUP(D983,'Cost Product'!A$1:C$21,3,FALSE),0)</f>
        <v>5</v>
      </c>
      <c r="R983" s="1">
        <f t="shared" si="95"/>
        <v>5.5</v>
      </c>
    </row>
    <row r="984" spans="1:18" x14ac:dyDescent="0.25">
      <c r="A984" s="1" t="s">
        <v>2003</v>
      </c>
      <c r="B984" t="s">
        <v>2004</v>
      </c>
      <c r="C984" t="s">
        <v>17</v>
      </c>
      <c r="D984" t="s">
        <v>79</v>
      </c>
      <c r="E984" s="4">
        <v>45574</v>
      </c>
      <c r="F984" s="4">
        <v>45580</v>
      </c>
      <c r="G984" s="1">
        <v>5</v>
      </c>
      <c r="H984" s="1">
        <v>5</v>
      </c>
      <c r="I984" t="s">
        <v>40</v>
      </c>
      <c r="J984" t="s">
        <v>2142</v>
      </c>
      <c r="K984" t="s">
        <v>28</v>
      </c>
      <c r="L984" s="1" t="str">
        <f t="shared" si="90"/>
        <v>2024</v>
      </c>
      <c r="M984" t="str">
        <f t="shared" si="91"/>
        <v>Oct</v>
      </c>
      <c r="N984" t="str">
        <f t="shared" si="92"/>
        <v>Wed</v>
      </c>
      <c r="O984" s="1">
        <f t="shared" si="93"/>
        <v>6</v>
      </c>
      <c r="P984" s="1">
        <f t="shared" si="94"/>
        <v>25</v>
      </c>
      <c r="Q984" s="1">
        <f>ROUND(G984*H984*VLOOKUP(D984,'Cost Product'!A$1:C$21,3,FALSE),0)</f>
        <v>14</v>
      </c>
      <c r="R984" s="1">
        <f t="shared" si="95"/>
        <v>11</v>
      </c>
    </row>
    <row r="985" spans="1:18" x14ac:dyDescent="0.25">
      <c r="A985" s="1" t="s">
        <v>2005</v>
      </c>
      <c r="B985" t="s">
        <v>2006</v>
      </c>
      <c r="C985" t="s">
        <v>17</v>
      </c>
      <c r="D985" s="3" t="s">
        <v>79</v>
      </c>
      <c r="E985" s="4">
        <v>45433</v>
      </c>
      <c r="F985" s="4">
        <v>45437</v>
      </c>
      <c r="G985" s="1">
        <v>2</v>
      </c>
      <c r="H985" s="1">
        <f>VLOOKUP(D985, 'Cost Product'!$A$2:$C$21, 2, FALSE)</f>
        <v>5</v>
      </c>
      <c r="I985" t="s">
        <v>13</v>
      </c>
      <c r="J985" t="s">
        <v>2141</v>
      </c>
      <c r="K985" t="s">
        <v>28</v>
      </c>
      <c r="L985" s="1" t="str">
        <f t="shared" si="90"/>
        <v>2024</v>
      </c>
      <c r="M985" t="str">
        <f t="shared" si="91"/>
        <v>May</v>
      </c>
      <c r="N985" t="str">
        <f t="shared" si="92"/>
        <v>Tue</v>
      </c>
      <c r="O985" s="1">
        <f t="shared" si="93"/>
        <v>4</v>
      </c>
      <c r="P985" s="1">
        <f t="shared" si="94"/>
        <v>10</v>
      </c>
      <c r="Q985" s="1">
        <f>ROUND(G985*H985*VLOOKUP(D985,'Cost Product'!A$1:C$21,3,FALSE),0)</f>
        <v>6</v>
      </c>
      <c r="R985" s="1">
        <f t="shared" si="95"/>
        <v>4</v>
      </c>
    </row>
    <row r="986" spans="1:18" x14ac:dyDescent="0.25">
      <c r="A986" s="1" t="s">
        <v>2007</v>
      </c>
      <c r="B986" t="s">
        <v>2008</v>
      </c>
      <c r="C986" t="s">
        <v>11</v>
      </c>
      <c r="D986" t="s">
        <v>39</v>
      </c>
      <c r="E986" s="4">
        <v>45201</v>
      </c>
      <c r="F986" s="4">
        <v>45212</v>
      </c>
      <c r="G986" s="1">
        <v>5</v>
      </c>
      <c r="H986" s="1">
        <v>5.75</v>
      </c>
      <c r="I986" t="s">
        <v>13</v>
      </c>
      <c r="J986" t="s">
        <v>2141</v>
      </c>
      <c r="K986" t="s">
        <v>28</v>
      </c>
      <c r="L986" s="1" t="str">
        <f t="shared" si="90"/>
        <v>2023</v>
      </c>
      <c r="M986" t="str">
        <f t="shared" si="91"/>
        <v>Oct</v>
      </c>
      <c r="N986" t="str">
        <f t="shared" si="92"/>
        <v>Mon</v>
      </c>
      <c r="O986" s="1">
        <f t="shared" si="93"/>
        <v>11</v>
      </c>
      <c r="P986" s="1">
        <f t="shared" si="94"/>
        <v>28.75</v>
      </c>
      <c r="Q986" s="1">
        <f>ROUND(G986*H986*VLOOKUP(D986,'Cost Product'!A$1:C$21,3,FALSE),0)</f>
        <v>14</v>
      </c>
      <c r="R986" s="1">
        <f t="shared" si="95"/>
        <v>14.75</v>
      </c>
    </row>
    <row r="987" spans="1:18" x14ac:dyDescent="0.25">
      <c r="A987" s="1" t="s">
        <v>2009</v>
      </c>
      <c r="B987" t="s">
        <v>2010</v>
      </c>
      <c r="C987" t="s">
        <v>65</v>
      </c>
      <c r="D987" t="s">
        <v>66</v>
      </c>
      <c r="E987" s="4">
        <v>45176</v>
      </c>
      <c r="F987" s="4">
        <v>45180</v>
      </c>
      <c r="G987" s="1">
        <v>4</v>
      </c>
      <c r="H987" s="1">
        <v>3.5</v>
      </c>
      <c r="I987" t="s">
        <v>13</v>
      </c>
      <c r="J987" t="s">
        <v>2145</v>
      </c>
      <c r="K987" t="s">
        <v>28</v>
      </c>
      <c r="L987" s="1" t="str">
        <f t="shared" si="90"/>
        <v>2023</v>
      </c>
      <c r="M987" t="str">
        <f t="shared" si="91"/>
        <v>Sep</v>
      </c>
      <c r="N987" t="str">
        <f t="shared" si="92"/>
        <v>Thu</v>
      </c>
      <c r="O987" s="1">
        <f t="shared" si="93"/>
        <v>4</v>
      </c>
      <c r="P987" s="1">
        <f t="shared" si="94"/>
        <v>14</v>
      </c>
      <c r="Q987" s="1">
        <f>ROUND(G987*H987*VLOOKUP(D987,'Cost Product'!A$1:C$21,3,FALSE),0)</f>
        <v>7</v>
      </c>
      <c r="R987" s="1">
        <f t="shared" si="95"/>
        <v>7</v>
      </c>
    </row>
    <row r="988" spans="1:18" x14ac:dyDescent="0.25">
      <c r="A988" s="1" t="s">
        <v>2011</v>
      </c>
      <c r="B988" t="s">
        <v>2012</v>
      </c>
      <c r="C988" t="s">
        <v>65</v>
      </c>
      <c r="D988" t="s">
        <v>66</v>
      </c>
      <c r="E988" s="4">
        <v>45370</v>
      </c>
      <c r="F988" s="4">
        <v>45372</v>
      </c>
      <c r="G988" s="1">
        <v>1</v>
      </c>
      <c r="H988" s="1">
        <v>3.5</v>
      </c>
      <c r="I988" t="s">
        <v>13</v>
      </c>
      <c r="J988" t="s">
        <v>2141</v>
      </c>
      <c r="K988" t="s">
        <v>28</v>
      </c>
      <c r="L988" s="1" t="str">
        <f t="shared" si="90"/>
        <v>2024</v>
      </c>
      <c r="M988" t="str">
        <f t="shared" si="91"/>
        <v>Mar</v>
      </c>
      <c r="N988" t="str">
        <f t="shared" si="92"/>
        <v>Tue</v>
      </c>
      <c r="O988" s="1">
        <f t="shared" si="93"/>
        <v>2</v>
      </c>
      <c r="P988" s="1">
        <f t="shared" si="94"/>
        <v>3.5</v>
      </c>
      <c r="Q988" s="1">
        <f>ROUND(G988*H988*VLOOKUP(D988,'Cost Product'!A$1:C$21,3,FALSE),0)</f>
        <v>2</v>
      </c>
      <c r="R988" s="1">
        <f t="shared" si="95"/>
        <v>1.5</v>
      </c>
    </row>
    <row r="989" spans="1:18" x14ac:dyDescent="0.25">
      <c r="A989" s="1" t="s">
        <v>2013</v>
      </c>
      <c r="B989" t="s">
        <v>2014</v>
      </c>
      <c r="C989" t="s">
        <v>26</v>
      </c>
      <c r="D989" t="s">
        <v>82</v>
      </c>
      <c r="E989" s="4">
        <v>45294</v>
      </c>
      <c r="F989" s="4">
        <v>45300</v>
      </c>
      <c r="G989" s="1">
        <v>4</v>
      </c>
      <c r="H989" s="1">
        <v>4.25</v>
      </c>
      <c r="I989" t="s">
        <v>13</v>
      </c>
      <c r="J989" t="s">
        <v>2141</v>
      </c>
      <c r="K989" t="s">
        <v>19</v>
      </c>
      <c r="L989" s="1" t="str">
        <f t="shared" si="90"/>
        <v>2024</v>
      </c>
      <c r="M989" t="str">
        <f t="shared" si="91"/>
        <v>Jan</v>
      </c>
      <c r="N989" t="str">
        <f t="shared" si="92"/>
        <v>Wed</v>
      </c>
      <c r="O989" s="1">
        <f t="shared" si="93"/>
        <v>6</v>
      </c>
      <c r="P989" s="1">
        <f t="shared" si="94"/>
        <v>17</v>
      </c>
      <c r="Q989" s="1">
        <f>ROUND(G989*H989*VLOOKUP(D989,'Cost Product'!A$1:C$21,3,FALSE),0)</f>
        <v>8</v>
      </c>
      <c r="R989" s="1">
        <f t="shared" si="95"/>
        <v>9</v>
      </c>
    </row>
    <row r="990" spans="1:18" x14ac:dyDescent="0.25">
      <c r="A990" s="1" t="s">
        <v>2015</v>
      </c>
      <c r="B990" t="s">
        <v>2016</v>
      </c>
      <c r="C990" t="s">
        <v>65</v>
      </c>
      <c r="D990" t="s">
        <v>115</v>
      </c>
      <c r="E990" s="4">
        <v>45387</v>
      </c>
      <c r="F990" s="4">
        <v>45388</v>
      </c>
      <c r="G990" s="1">
        <v>2</v>
      </c>
      <c r="H990" s="1">
        <v>3</v>
      </c>
      <c r="I990" t="s">
        <v>13</v>
      </c>
      <c r="J990" t="s">
        <v>2141</v>
      </c>
      <c r="K990" t="s">
        <v>19</v>
      </c>
      <c r="L990" s="1" t="str">
        <f t="shared" si="90"/>
        <v>2024</v>
      </c>
      <c r="M990" t="str">
        <f t="shared" si="91"/>
        <v>Apr</v>
      </c>
      <c r="N990" t="str">
        <f t="shared" si="92"/>
        <v>Fri</v>
      </c>
      <c r="O990" s="1">
        <f t="shared" si="93"/>
        <v>1</v>
      </c>
      <c r="P990" s="1">
        <f t="shared" si="94"/>
        <v>6</v>
      </c>
      <c r="Q990" s="1">
        <f>ROUND(G990*H990*VLOOKUP(D990,'Cost Product'!A$1:C$21,3,FALSE),0)</f>
        <v>3</v>
      </c>
      <c r="R990" s="1">
        <f t="shared" si="95"/>
        <v>3</v>
      </c>
    </row>
    <row r="991" spans="1:18" x14ac:dyDescent="0.25">
      <c r="A991" s="1" t="s">
        <v>2017</v>
      </c>
      <c r="B991" t="s">
        <v>2018</v>
      </c>
      <c r="C991" t="s">
        <v>17</v>
      </c>
      <c r="D991" t="s">
        <v>50</v>
      </c>
      <c r="E991" s="4">
        <v>45435</v>
      </c>
      <c r="F991" s="4">
        <v>45441</v>
      </c>
      <c r="G991" s="1">
        <v>3</v>
      </c>
      <c r="H991" s="1">
        <v>5.25</v>
      </c>
      <c r="I991" t="s">
        <v>40</v>
      </c>
      <c r="J991" t="s">
        <v>2144</v>
      </c>
      <c r="K991" t="s">
        <v>28</v>
      </c>
      <c r="L991" s="1" t="str">
        <f t="shared" si="90"/>
        <v>2024</v>
      </c>
      <c r="M991" t="str">
        <f t="shared" si="91"/>
        <v>May</v>
      </c>
      <c r="N991" t="str">
        <f t="shared" si="92"/>
        <v>Thu</v>
      </c>
      <c r="O991" s="1">
        <f t="shared" si="93"/>
        <v>6</v>
      </c>
      <c r="P991" s="1">
        <f t="shared" si="94"/>
        <v>15.75</v>
      </c>
      <c r="Q991" s="1">
        <f>ROUND(G991*H991*VLOOKUP(D991,'Cost Product'!A$1:C$21,3,FALSE),0)</f>
        <v>9</v>
      </c>
      <c r="R991" s="1">
        <f t="shared" si="95"/>
        <v>6.75</v>
      </c>
    </row>
    <row r="992" spans="1:18" x14ac:dyDescent="0.25">
      <c r="A992" s="1" t="s">
        <v>2019</v>
      </c>
      <c r="B992" t="s">
        <v>2020</v>
      </c>
      <c r="C992" t="s">
        <v>22</v>
      </c>
      <c r="D992" t="s">
        <v>56</v>
      </c>
      <c r="E992" s="4">
        <v>45292</v>
      </c>
      <c r="F992" s="4">
        <v>45298</v>
      </c>
      <c r="G992" s="1">
        <v>3</v>
      </c>
      <c r="H992" s="1">
        <v>8.75</v>
      </c>
      <c r="I992" t="s">
        <v>13</v>
      </c>
      <c r="J992" t="s">
        <v>2141</v>
      </c>
      <c r="K992" t="s">
        <v>28</v>
      </c>
      <c r="L992" s="1" t="str">
        <f t="shared" si="90"/>
        <v>2024</v>
      </c>
      <c r="M992" t="str">
        <f t="shared" si="91"/>
        <v>Jan</v>
      </c>
      <c r="N992" t="str">
        <f t="shared" si="92"/>
        <v>Mon</v>
      </c>
      <c r="O992" s="1">
        <f t="shared" si="93"/>
        <v>6</v>
      </c>
      <c r="P992" s="1">
        <f t="shared" si="94"/>
        <v>26.25</v>
      </c>
      <c r="Q992" s="1">
        <f>ROUND(G992*H992*VLOOKUP(D992,'Cost Product'!A$1:C$21,3,FALSE),0)</f>
        <v>15</v>
      </c>
      <c r="R992" s="1">
        <f t="shared" si="95"/>
        <v>11.25</v>
      </c>
    </row>
    <row r="993" spans="1:18" x14ac:dyDescent="0.25">
      <c r="A993" s="1" t="s">
        <v>2021</v>
      </c>
      <c r="B993" t="s">
        <v>2022</v>
      </c>
      <c r="C993" t="s">
        <v>22</v>
      </c>
      <c r="D993" t="s">
        <v>23</v>
      </c>
      <c r="E993" s="4">
        <v>45415</v>
      </c>
      <c r="F993" s="4">
        <v>45416</v>
      </c>
      <c r="G993" s="1">
        <v>3</v>
      </c>
      <c r="H993" s="1">
        <v>10</v>
      </c>
      <c r="I993" t="s">
        <v>40</v>
      </c>
      <c r="J993" t="s">
        <v>2141</v>
      </c>
      <c r="K993" t="s">
        <v>28</v>
      </c>
      <c r="L993" s="1" t="str">
        <f t="shared" si="90"/>
        <v>2024</v>
      </c>
      <c r="M993" t="str">
        <f t="shared" si="91"/>
        <v>May</v>
      </c>
      <c r="N993" t="str">
        <f t="shared" si="92"/>
        <v>Fri</v>
      </c>
      <c r="O993" s="1">
        <f t="shared" si="93"/>
        <v>1</v>
      </c>
      <c r="P993" s="1">
        <f t="shared" si="94"/>
        <v>30</v>
      </c>
      <c r="Q993" s="1">
        <f>ROUND(G993*H993*VLOOKUP(D993,'Cost Product'!A$1:C$21,3,FALSE),0)</f>
        <v>20</v>
      </c>
      <c r="R993" s="1">
        <f t="shared" si="95"/>
        <v>10</v>
      </c>
    </row>
    <row r="994" spans="1:18" x14ac:dyDescent="0.25">
      <c r="A994" s="1" t="s">
        <v>2023</v>
      </c>
      <c r="B994" t="s">
        <v>2024</v>
      </c>
      <c r="C994" t="s">
        <v>26</v>
      </c>
      <c r="D994" t="s">
        <v>27</v>
      </c>
      <c r="E994" s="4">
        <v>45270</v>
      </c>
      <c r="F994" s="4">
        <v>45271</v>
      </c>
      <c r="G994" s="1">
        <v>5</v>
      </c>
      <c r="H994" s="1">
        <v>4.75</v>
      </c>
      <c r="I994" t="s">
        <v>40</v>
      </c>
      <c r="J994" t="s">
        <v>2142</v>
      </c>
      <c r="K994" t="s">
        <v>28</v>
      </c>
      <c r="L994" s="1" t="str">
        <f t="shared" si="90"/>
        <v>2023</v>
      </c>
      <c r="M994" t="str">
        <f t="shared" si="91"/>
        <v>Dec</v>
      </c>
      <c r="N994" t="str">
        <f t="shared" si="92"/>
        <v>Sun</v>
      </c>
      <c r="O994" s="1">
        <f t="shared" si="93"/>
        <v>1</v>
      </c>
      <c r="P994" s="1">
        <f t="shared" si="94"/>
        <v>23.75</v>
      </c>
      <c r="Q994" s="1">
        <f>ROUND(G994*H994*VLOOKUP(D994,'Cost Product'!A$1:C$21,3,FALSE),0)</f>
        <v>13</v>
      </c>
      <c r="R994" s="1">
        <f t="shared" si="95"/>
        <v>10.75</v>
      </c>
    </row>
    <row r="995" spans="1:18" x14ac:dyDescent="0.25">
      <c r="A995" s="1" t="s">
        <v>2025</v>
      </c>
      <c r="B995" t="s">
        <v>2026</v>
      </c>
      <c r="C995" t="s">
        <v>65</v>
      </c>
      <c r="D995" t="s">
        <v>115</v>
      </c>
      <c r="E995" s="4">
        <v>45174</v>
      </c>
      <c r="F995" s="4">
        <v>45181</v>
      </c>
      <c r="G995" s="1">
        <v>3</v>
      </c>
      <c r="H995" s="1">
        <v>3</v>
      </c>
      <c r="I995" t="s">
        <v>13</v>
      </c>
      <c r="J995" t="s">
        <v>2141</v>
      </c>
      <c r="K995" t="s">
        <v>19</v>
      </c>
      <c r="L995" s="1" t="str">
        <f t="shared" si="90"/>
        <v>2023</v>
      </c>
      <c r="M995" t="str">
        <f t="shared" si="91"/>
        <v>Sep</v>
      </c>
      <c r="N995" t="str">
        <f t="shared" si="92"/>
        <v>Tue</v>
      </c>
      <c r="O995" s="1">
        <f t="shared" si="93"/>
        <v>7</v>
      </c>
      <c r="P995" s="1">
        <f t="shared" si="94"/>
        <v>9</v>
      </c>
      <c r="Q995" s="1">
        <f>ROUND(G995*H995*VLOOKUP(D995,'Cost Product'!A$1:C$21,3,FALSE),0)</f>
        <v>4</v>
      </c>
      <c r="R995" s="1">
        <f t="shared" si="95"/>
        <v>5</v>
      </c>
    </row>
    <row r="996" spans="1:18" x14ac:dyDescent="0.25">
      <c r="A996" s="1" t="s">
        <v>2027</v>
      </c>
      <c r="B996" t="s">
        <v>2028</v>
      </c>
      <c r="C996" t="s">
        <v>22</v>
      </c>
      <c r="D996" t="s">
        <v>62</v>
      </c>
      <c r="E996" s="4">
        <v>45292</v>
      </c>
      <c r="F996" s="4">
        <v>45294</v>
      </c>
      <c r="G996" s="1">
        <v>1</v>
      </c>
      <c r="H996" s="1">
        <v>8</v>
      </c>
      <c r="I996" t="s">
        <v>13</v>
      </c>
      <c r="J996" t="s">
        <v>2142</v>
      </c>
      <c r="K996" t="s">
        <v>19</v>
      </c>
      <c r="L996" s="1" t="str">
        <f t="shared" si="90"/>
        <v>2024</v>
      </c>
      <c r="M996" t="str">
        <f t="shared" si="91"/>
        <v>Jan</v>
      </c>
      <c r="N996" t="str">
        <f t="shared" si="92"/>
        <v>Mon</v>
      </c>
      <c r="O996" s="1">
        <f t="shared" si="93"/>
        <v>2</v>
      </c>
      <c r="P996" s="1">
        <f t="shared" si="94"/>
        <v>8</v>
      </c>
      <c r="Q996" s="1">
        <f>ROUND(G996*H996*VLOOKUP(D996,'Cost Product'!A$1:C$21,3,FALSE),0)</f>
        <v>5</v>
      </c>
      <c r="R996" s="1">
        <f t="shared" si="95"/>
        <v>3</v>
      </c>
    </row>
    <row r="997" spans="1:18" x14ac:dyDescent="0.25">
      <c r="A997" s="1" t="s">
        <v>2029</v>
      </c>
      <c r="B997" t="s">
        <v>2030</v>
      </c>
      <c r="C997" t="s">
        <v>11</v>
      </c>
      <c r="D997" t="s">
        <v>12</v>
      </c>
      <c r="E997" s="4">
        <v>45551</v>
      </c>
      <c r="F997" s="4">
        <v>45552</v>
      </c>
      <c r="G997" s="1">
        <v>1</v>
      </c>
      <c r="H997" s="1">
        <v>6.5</v>
      </c>
      <c r="I997" t="s">
        <v>40</v>
      </c>
      <c r="J997" t="s">
        <v>2144</v>
      </c>
      <c r="K997" t="s">
        <v>14</v>
      </c>
      <c r="L997" s="1" t="str">
        <f t="shared" si="90"/>
        <v>2024</v>
      </c>
      <c r="M997" t="str">
        <f t="shared" si="91"/>
        <v>Sep</v>
      </c>
      <c r="N997" t="str">
        <f t="shared" si="92"/>
        <v>Mon</v>
      </c>
      <c r="O997" s="1">
        <f t="shared" si="93"/>
        <v>1</v>
      </c>
      <c r="P997" s="1">
        <f t="shared" si="94"/>
        <v>6.5</v>
      </c>
      <c r="Q997" s="1">
        <f>ROUND(G997*H997*VLOOKUP(D997,'Cost Product'!A$1:C$21,3,FALSE),0)</f>
        <v>4</v>
      </c>
      <c r="R997" s="1">
        <f t="shared" si="95"/>
        <v>2.5</v>
      </c>
    </row>
    <row r="998" spans="1:18" x14ac:dyDescent="0.25">
      <c r="A998" s="1" t="s">
        <v>2031</v>
      </c>
      <c r="B998" t="s">
        <v>2032</v>
      </c>
      <c r="C998" t="s">
        <v>11</v>
      </c>
      <c r="D998" s="3" t="s">
        <v>31</v>
      </c>
      <c r="E998" s="4">
        <v>45362</v>
      </c>
      <c r="F998" s="4">
        <v>45366</v>
      </c>
      <c r="G998" s="1">
        <v>3</v>
      </c>
      <c r="H998" s="1">
        <f>VLOOKUP(D998, 'Cost Product'!$A$2:$C$21, 2, FALSE)</f>
        <v>5.5</v>
      </c>
      <c r="I998" t="s">
        <v>13</v>
      </c>
      <c r="J998" t="s">
        <v>2141</v>
      </c>
      <c r="K998" t="s">
        <v>28</v>
      </c>
      <c r="L998" s="1" t="str">
        <f t="shared" si="90"/>
        <v>2024</v>
      </c>
      <c r="M998" t="str">
        <f t="shared" si="91"/>
        <v>Mar</v>
      </c>
      <c r="N998" t="str">
        <f t="shared" si="92"/>
        <v>Mon</v>
      </c>
      <c r="O998" s="1">
        <f t="shared" si="93"/>
        <v>4</v>
      </c>
      <c r="P998" s="1">
        <f t="shared" si="94"/>
        <v>16.5</v>
      </c>
      <c r="Q998" s="1">
        <f>ROUND(G998*H998*VLOOKUP(D998,'Cost Product'!A$1:C$21,3,FALSE),0)</f>
        <v>9</v>
      </c>
      <c r="R998" s="1">
        <f t="shared" si="95"/>
        <v>7.5</v>
      </c>
    </row>
    <row r="999" spans="1:18" x14ac:dyDescent="0.25">
      <c r="A999" s="1" t="s">
        <v>2033</v>
      </c>
      <c r="B999" t="s">
        <v>2034</v>
      </c>
      <c r="C999" t="s">
        <v>65</v>
      </c>
      <c r="D999" t="s">
        <v>120</v>
      </c>
      <c r="E999" s="4">
        <v>45456</v>
      </c>
      <c r="F999" s="4">
        <v>45459</v>
      </c>
      <c r="G999" s="1">
        <v>2</v>
      </c>
      <c r="H999" s="1">
        <v>3.75</v>
      </c>
      <c r="I999" t="s">
        <v>13</v>
      </c>
      <c r="J999" t="s">
        <v>2144</v>
      </c>
      <c r="K999" t="s">
        <v>28</v>
      </c>
      <c r="L999" s="1" t="str">
        <f t="shared" si="90"/>
        <v>2024</v>
      </c>
      <c r="M999" t="str">
        <f t="shared" si="91"/>
        <v>Jun</v>
      </c>
      <c r="N999" t="str">
        <f t="shared" si="92"/>
        <v>Thu</v>
      </c>
      <c r="O999" s="1">
        <f t="shared" si="93"/>
        <v>3</v>
      </c>
      <c r="P999" s="1">
        <f t="shared" si="94"/>
        <v>7.5</v>
      </c>
      <c r="Q999" s="1">
        <f>ROUND(G999*H999*VLOOKUP(D999,'Cost Product'!A$1:C$21,3,FALSE),0)</f>
        <v>4</v>
      </c>
      <c r="R999" s="1">
        <f t="shared" si="95"/>
        <v>3.5</v>
      </c>
    </row>
    <row r="1000" spans="1:18" x14ac:dyDescent="0.25">
      <c r="A1000" s="1" t="s">
        <v>2035</v>
      </c>
      <c r="B1000" t="s">
        <v>2036</v>
      </c>
      <c r="C1000" t="s">
        <v>11</v>
      </c>
      <c r="D1000" t="s">
        <v>31</v>
      </c>
      <c r="E1000" s="4">
        <v>45247</v>
      </c>
      <c r="F1000" s="4">
        <v>45248</v>
      </c>
      <c r="G1000" s="1">
        <v>4</v>
      </c>
      <c r="H1000" s="1">
        <v>5.5</v>
      </c>
      <c r="I1000" t="s">
        <v>13</v>
      </c>
      <c r="J1000" t="s">
        <v>2144</v>
      </c>
      <c r="K1000" t="s">
        <v>28</v>
      </c>
      <c r="L1000" s="1" t="str">
        <f t="shared" si="90"/>
        <v>2023</v>
      </c>
      <c r="M1000" t="str">
        <f t="shared" si="91"/>
        <v>Nov</v>
      </c>
      <c r="N1000" t="str">
        <f t="shared" si="92"/>
        <v>Fri</v>
      </c>
      <c r="O1000" s="1">
        <f t="shared" si="93"/>
        <v>1</v>
      </c>
      <c r="P1000" s="1">
        <f t="shared" si="94"/>
        <v>22</v>
      </c>
      <c r="Q1000" s="1">
        <f>ROUND(G1000*H1000*VLOOKUP(D1000,'Cost Product'!A$1:C$21,3,FALSE),0)</f>
        <v>11</v>
      </c>
      <c r="R1000" s="1">
        <f t="shared" si="95"/>
        <v>11</v>
      </c>
    </row>
    <row r="1001" spans="1:18" x14ac:dyDescent="0.25">
      <c r="A1001" s="1" t="s">
        <v>2037</v>
      </c>
      <c r="B1001" t="s">
        <v>2038</v>
      </c>
      <c r="C1001" t="s">
        <v>22</v>
      </c>
      <c r="D1001" t="s">
        <v>23</v>
      </c>
      <c r="E1001" s="4">
        <v>45462</v>
      </c>
      <c r="F1001" s="4">
        <v>45465</v>
      </c>
      <c r="G1001" s="1">
        <v>3</v>
      </c>
      <c r="H1001" s="1">
        <v>10</v>
      </c>
      <c r="I1001" t="s">
        <v>13</v>
      </c>
      <c r="J1001" t="s">
        <v>2142</v>
      </c>
      <c r="K1001" t="s">
        <v>19</v>
      </c>
      <c r="L1001" s="1" t="str">
        <f t="shared" si="90"/>
        <v>2024</v>
      </c>
      <c r="M1001" t="str">
        <f t="shared" si="91"/>
        <v>Jun</v>
      </c>
      <c r="N1001" t="str">
        <f t="shared" si="92"/>
        <v>Wed</v>
      </c>
      <c r="O1001" s="1">
        <f t="shared" si="93"/>
        <v>3</v>
      </c>
      <c r="P1001" s="1">
        <f t="shared" si="94"/>
        <v>30</v>
      </c>
      <c r="Q1001" s="1">
        <f>ROUND(G1001*H1001*VLOOKUP(D1001,'Cost Product'!A$1:C$21,3,FALSE),0)</f>
        <v>20</v>
      </c>
      <c r="R1001" s="1">
        <f t="shared" si="95"/>
        <v>10</v>
      </c>
    </row>
    <row r="1002" spans="1:18" x14ac:dyDescent="0.25">
      <c r="A1002"/>
      <c r="G1002"/>
      <c r="H1002"/>
    </row>
    <row r="1003" spans="1:18" x14ac:dyDescent="0.25">
      <c r="A1003"/>
      <c r="G1003"/>
      <c r="H1003"/>
    </row>
    <row r="1004" spans="1:18" x14ac:dyDescent="0.25">
      <c r="A1004"/>
      <c r="G1004"/>
      <c r="H1004"/>
    </row>
    <row r="1005" spans="1:18" x14ac:dyDescent="0.25">
      <c r="A1005"/>
      <c r="G1005"/>
      <c r="H1005"/>
    </row>
    <row r="1006" spans="1:18" x14ac:dyDescent="0.25">
      <c r="A1006"/>
      <c r="G1006"/>
      <c r="H1006"/>
    </row>
    <row r="1007" spans="1:18" x14ac:dyDescent="0.25">
      <c r="A1007"/>
      <c r="G1007"/>
      <c r="H1007"/>
    </row>
    <row r="1008" spans="1:18" x14ac:dyDescent="0.25">
      <c r="A1008"/>
      <c r="G1008"/>
      <c r="H1008"/>
    </row>
    <row r="1009" spans="1:8" x14ac:dyDescent="0.25">
      <c r="A1009"/>
      <c r="G1009"/>
      <c r="H1009"/>
    </row>
    <row r="1010" spans="1:8" x14ac:dyDescent="0.25">
      <c r="A1010"/>
      <c r="G1010"/>
      <c r="H1010"/>
    </row>
    <row r="1011" spans="1:8" x14ac:dyDescent="0.25">
      <c r="A1011"/>
      <c r="G1011"/>
      <c r="H1011"/>
    </row>
    <row r="1012" spans="1:8" x14ac:dyDescent="0.25">
      <c r="A1012"/>
      <c r="G1012"/>
      <c r="H1012"/>
    </row>
    <row r="1013" spans="1:8" x14ac:dyDescent="0.25">
      <c r="A1013"/>
      <c r="G1013"/>
      <c r="H1013"/>
    </row>
    <row r="1014" spans="1:8" x14ac:dyDescent="0.25">
      <c r="A1014"/>
      <c r="G1014"/>
      <c r="H1014"/>
    </row>
    <row r="1015" spans="1:8" x14ac:dyDescent="0.25">
      <c r="A1015"/>
      <c r="G1015"/>
      <c r="H1015"/>
    </row>
    <row r="1016" spans="1:8" x14ac:dyDescent="0.25">
      <c r="A1016"/>
      <c r="G1016"/>
      <c r="H1016"/>
    </row>
    <row r="1017" spans="1:8" x14ac:dyDescent="0.25">
      <c r="A1017"/>
      <c r="G1017"/>
      <c r="H1017"/>
    </row>
    <row r="1018" spans="1:8" x14ac:dyDescent="0.25">
      <c r="A1018"/>
      <c r="G1018"/>
      <c r="H1018"/>
    </row>
    <row r="1019" spans="1:8" x14ac:dyDescent="0.25">
      <c r="A1019"/>
      <c r="G1019"/>
      <c r="H1019"/>
    </row>
    <row r="1020" spans="1:8" x14ac:dyDescent="0.25">
      <c r="A1020"/>
      <c r="G1020"/>
      <c r="H1020"/>
    </row>
    <row r="1021" spans="1:8" x14ac:dyDescent="0.25">
      <c r="A1021"/>
      <c r="G1021"/>
      <c r="H1021"/>
    </row>
    <row r="1022" spans="1:8" x14ac:dyDescent="0.25">
      <c r="A1022"/>
      <c r="G1022"/>
      <c r="H1022"/>
    </row>
    <row r="1023" spans="1:8" x14ac:dyDescent="0.25">
      <c r="A1023"/>
      <c r="G1023"/>
      <c r="H1023"/>
    </row>
    <row r="1024" spans="1:8" x14ac:dyDescent="0.25">
      <c r="A1024"/>
      <c r="G1024"/>
      <c r="H1024"/>
    </row>
    <row r="1025" spans="1:8" x14ac:dyDescent="0.25">
      <c r="A1025"/>
      <c r="G1025"/>
      <c r="H1025"/>
    </row>
    <row r="1026" spans="1:8" x14ac:dyDescent="0.25">
      <c r="A1026"/>
      <c r="G1026"/>
      <c r="H1026"/>
    </row>
    <row r="1027" spans="1:8" x14ac:dyDescent="0.25">
      <c r="A1027"/>
      <c r="G1027"/>
      <c r="H1027"/>
    </row>
    <row r="1028" spans="1:8" x14ac:dyDescent="0.25">
      <c r="A1028"/>
      <c r="G1028"/>
      <c r="H1028"/>
    </row>
    <row r="1029" spans="1:8" x14ac:dyDescent="0.25">
      <c r="A1029"/>
      <c r="G1029"/>
      <c r="H1029"/>
    </row>
    <row r="1030" spans="1:8" x14ac:dyDescent="0.25">
      <c r="A1030"/>
      <c r="G1030"/>
      <c r="H1030"/>
    </row>
    <row r="1031" spans="1:8" x14ac:dyDescent="0.25">
      <c r="A1031"/>
      <c r="G1031"/>
      <c r="H1031"/>
    </row>
    <row r="1032" spans="1:8" x14ac:dyDescent="0.25">
      <c r="A1032"/>
      <c r="G1032"/>
      <c r="H1032"/>
    </row>
    <row r="1033" spans="1:8" x14ac:dyDescent="0.25">
      <c r="A1033"/>
      <c r="G1033"/>
      <c r="H1033"/>
    </row>
    <row r="1034" spans="1:8" x14ac:dyDescent="0.25">
      <c r="A1034"/>
      <c r="G1034"/>
      <c r="H1034"/>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1"/>
  <sheetViews>
    <sheetView workbookViewId="0">
      <selection activeCell="F20" sqref="F20"/>
    </sheetView>
  </sheetViews>
  <sheetFormatPr defaultRowHeight="15" x14ac:dyDescent="0.25"/>
  <cols>
    <col min="1" max="1" width="21.140625" bestFit="1" customWidth="1"/>
    <col min="2" max="2" width="10.140625" bestFit="1" customWidth="1"/>
    <col min="3" max="3" width="15.85546875" bestFit="1" customWidth="1"/>
  </cols>
  <sheetData>
    <row r="1" spans="1:3" x14ac:dyDescent="0.25">
      <c r="A1" s="5" t="s">
        <v>2039</v>
      </c>
      <c r="B1" s="2" t="s">
        <v>2040</v>
      </c>
      <c r="C1" s="2" t="s">
        <v>2041</v>
      </c>
    </row>
    <row r="2" spans="1:3" x14ac:dyDescent="0.25">
      <c r="A2" s="6" t="s">
        <v>66</v>
      </c>
      <c r="B2" s="1">
        <v>3.5</v>
      </c>
      <c r="C2" s="53">
        <v>0.48</v>
      </c>
    </row>
    <row r="3" spans="1:3" x14ac:dyDescent="0.25">
      <c r="A3" s="6" t="s">
        <v>120</v>
      </c>
      <c r="B3" s="1">
        <v>3.75</v>
      </c>
      <c r="C3" s="53">
        <v>0.5</v>
      </c>
    </row>
    <row r="4" spans="1:3" x14ac:dyDescent="0.25">
      <c r="A4" s="6" t="s">
        <v>115</v>
      </c>
      <c r="B4" s="1">
        <v>3</v>
      </c>
      <c r="C4" s="53">
        <v>0.46</v>
      </c>
    </row>
    <row r="5" spans="1:3" x14ac:dyDescent="0.25">
      <c r="A5" s="6" t="s">
        <v>99</v>
      </c>
      <c r="B5" s="1">
        <v>4</v>
      </c>
      <c r="C5" s="53">
        <v>0.52</v>
      </c>
    </row>
    <row r="6" spans="1:3" x14ac:dyDescent="0.25">
      <c r="A6" s="6" t="s">
        <v>104</v>
      </c>
      <c r="B6" s="1">
        <v>4.5</v>
      </c>
      <c r="C6" s="53">
        <v>0.5</v>
      </c>
    </row>
    <row r="7" spans="1:3" x14ac:dyDescent="0.25">
      <c r="A7" s="6" t="s">
        <v>45</v>
      </c>
      <c r="B7" s="1">
        <v>4.5</v>
      </c>
      <c r="C7" s="53">
        <v>0.52</v>
      </c>
    </row>
    <row r="8" spans="1:3" x14ac:dyDescent="0.25">
      <c r="A8" s="6" t="s">
        <v>82</v>
      </c>
      <c r="B8" s="1">
        <v>4.25</v>
      </c>
      <c r="C8" s="53">
        <v>0.49</v>
      </c>
    </row>
    <row r="9" spans="1:3" x14ac:dyDescent="0.25">
      <c r="A9" s="6" t="s">
        <v>27</v>
      </c>
      <c r="B9" s="1">
        <v>4.75</v>
      </c>
      <c r="C9" s="53">
        <v>0.54</v>
      </c>
    </row>
    <row r="10" spans="1:3" x14ac:dyDescent="0.25">
      <c r="A10" s="6" t="s">
        <v>56</v>
      </c>
      <c r="B10" s="1">
        <v>8.75</v>
      </c>
      <c r="C10" s="53">
        <v>0.56999999999999995</v>
      </c>
    </row>
    <row r="11" spans="1:3" x14ac:dyDescent="0.25">
      <c r="A11" s="6" t="s">
        <v>62</v>
      </c>
      <c r="B11" s="1">
        <v>8</v>
      </c>
      <c r="C11" s="53">
        <v>0.57999999999999996</v>
      </c>
    </row>
    <row r="12" spans="1:3" x14ac:dyDescent="0.25">
      <c r="A12" s="6" t="s">
        <v>23</v>
      </c>
      <c r="B12" s="1">
        <v>10</v>
      </c>
      <c r="C12" s="53">
        <v>0.65</v>
      </c>
    </row>
    <row r="13" spans="1:3" x14ac:dyDescent="0.25">
      <c r="A13" s="6" t="s">
        <v>59</v>
      </c>
      <c r="B13" s="1">
        <v>8.5</v>
      </c>
      <c r="C13" s="53">
        <v>0.6</v>
      </c>
    </row>
    <row r="14" spans="1:3" x14ac:dyDescent="0.25">
      <c r="A14" s="6" t="s">
        <v>31</v>
      </c>
      <c r="B14" s="1">
        <v>5.5</v>
      </c>
      <c r="C14" s="53">
        <v>0.52</v>
      </c>
    </row>
    <row r="15" spans="1:3" x14ac:dyDescent="0.25">
      <c r="A15" s="6" t="s">
        <v>39</v>
      </c>
      <c r="B15" s="1">
        <v>5.75</v>
      </c>
      <c r="C15" s="53">
        <v>0.5</v>
      </c>
    </row>
    <row r="16" spans="1:3" x14ac:dyDescent="0.25">
      <c r="A16" s="6" t="s">
        <v>12</v>
      </c>
      <c r="B16" s="1">
        <v>6.5</v>
      </c>
      <c r="C16" s="53">
        <v>0.57999999999999996</v>
      </c>
    </row>
    <row r="17" spans="1:3" x14ac:dyDescent="0.25">
      <c r="A17" s="6" t="s">
        <v>36</v>
      </c>
      <c r="B17" s="1">
        <v>6.25</v>
      </c>
      <c r="C17" s="53">
        <v>0.55000000000000004</v>
      </c>
    </row>
    <row r="18" spans="1:3" x14ac:dyDescent="0.25">
      <c r="A18" s="6" t="s">
        <v>50</v>
      </c>
      <c r="B18" s="1">
        <v>5.25</v>
      </c>
      <c r="C18" s="53">
        <v>0.57999999999999996</v>
      </c>
    </row>
    <row r="19" spans="1:3" x14ac:dyDescent="0.25">
      <c r="A19" s="6" t="s">
        <v>18</v>
      </c>
      <c r="B19" s="1">
        <v>5.5</v>
      </c>
      <c r="C19" s="53">
        <v>0.6</v>
      </c>
    </row>
    <row r="20" spans="1:3" x14ac:dyDescent="0.25">
      <c r="A20" s="6" t="s">
        <v>53</v>
      </c>
      <c r="B20" s="1">
        <v>4.75</v>
      </c>
      <c r="C20" s="53">
        <v>0.54</v>
      </c>
    </row>
    <row r="21" spans="1:3" x14ac:dyDescent="0.25">
      <c r="A21" s="6" t="s">
        <v>79</v>
      </c>
      <c r="B21" s="1">
        <v>5</v>
      </c>
      <c r="C21" s="53">
        <v>0.56000000000000005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J326"/>
  <sheetViews>
    <sheetView topLeftCell="A28" workbookViewId="0">
      <selection activeCell="L9" sqref="L9"/>
    </sheetView>
  </sheetViews>
  <sheetFormatPr defaultRowHeight="15" x14ac:dyDescent="0.25"/>
  <cols>
    <col min="2" max="2" width="5.7109375" customWidth="1"/>
    <col min="3" max="3" width="21.7109375" customWidth="1"/>
    <col min="4" max="9" width="15.7109375" customWidth="1"/>
    <col min="10" max="10" width="5.7109375" customWidth="1"/>
  </cols>
  <sheetData>
    <row r="1" spans="2:10" ht="15.75" thickBot="1" x14ac:dyDescent="0.3"/>
    <row r="2" spans="2:10" ht="21.75" customHeight="1" thickBot="1" x14ac:dyDescent="0.3">
      <c r="B2" s="95" t="s">
        <v>2064</v>
      </c>
      <c r="C2" s="96"/>
      <c r="D2" s="96"/>
      <c r="E2" s="96"/>
      <c r="F2" s="96"/>
      <c r="G2" s="96"/>
      <c r="H2" s="96"/>
      <c r="I2" s="96"/>
      <c r="J2" s="97"/>
    </row>
    <row r="3" spans="2:10" ht="15.75" thickBot="1" x14ac:dyDescent="0.3"/>
    <row r="4" spans="2:10" ht="16.5" thickBot="1" x14ac:dyDescent="0.3">
      <c r="C4" s="20" t="s">
        <v>2063</v>
      </c>
      <c r="D4" s="16" t="s">
        <v>6</v>
      </c>
      <c r="E4" s="14" t="s">
        <v>2042</v>
      </c>
      <c r="F4" s="14" t="s">
        <v>2046</v>
      </c>
      <c r="G4" s="14" t="s">
        <v>2047</v>
      </c>
      <c r="H4" s="14" t="s">
        <v>2049</v>
      </c>
      <c r="I4" s="15" t="s">
        <v>2048</v>
      </c>
    </row>
    <row r="5" spans="2:10" x14ac:dyDescent="0.25">
      <c r="C5" s="21" t="s">
        <v>2050</v>
      </c>
      <c r="D5" s="17">
        <v>2.95</v>
      </c>
      <c r="E5" s="12">
        <v>5.5052500000000002</v>
      </c>
      <c r="F5" s="12">
        <v>3.7869999999999999</v>
      </c>
      <c r="G5" s="12">
        <v>16.29</v>
      </c>
      <c r="H5" s="12">
        <v>9.0690000000000008</v>
      </c>
      <c r="I5" s="13">
        <v>7.2210000000000001</v>
      </c>
    </row>
    <row r="6" spans="2:10" x14ac:dyDescent="0.25">
      <c r="C6" s="22" t="s">
        <v>2051</v>
      </c>
      <c r="D6" s="18">
        <v>4.5094717357286249E-2</v>
      </c>
      <c r="E6" s="8">
        <v>6.2640512220696859E-2</v>
      </c>
      <c r="F6" s="8">
        <v>9.4013134558259839E-2</v>
      </c>
      <c r="G6" s="8">
        <v>0.32638194676662985</v>
      </c>
      <c r="H6" s="8">
        <v>0.20267045742859102</v>
      </c>
      <c r="I6" s="9">
        <v>0.13009740325746066</v>
      </c>
    </row>
    <row r="7" spans="2:10" x14ac:dyDescent="0.25">
      <c r="C7" s="22" t="s">
        <v>2052</v>
      </c>
      <c r="D7" s="18">
        <v>3</v>
      </c>
      <c r="E7" s="8">
        <v>5</v>
      </c>
      <c r="F7" s="8">
        <v>3</v>
      </c>
      <c r="G7" s="8">
        <v>15</v>
      </c>
      <c r="H7" s="8">
        <v>8</v>
      </c>
      <c r="I7" s="9">
        <v>6.75</v>
      </c>
    </row>
    <row r="8" spans="2:10" x14ac:dyDescent="0.25">
      <c r="C8" s="22" t="s">
        <v>2053</v>
      </c>
      <c r="D8" s="18">
        <v>2</v>
      </c>
      <c r="E8" s="8">
        <v>5.5</v>
      </c>
      <c r="F8" s="8">
        <v>1</v>
      </c>
      <c r="G8" s="8">
        <v>15</v>
      </c>
      <c r="H8" s="8">
        <v>3</v>
      </c>
      <c r="I8" s="9">
        <v>7</v>
      </c>
    </row>
    <row r="9" spans="2:10" x14ac:dyDescent="0.25">
      <c r="C9" s="22" t="s">
        <v>2054</v>
      </c>
      <c r="D9" s="18">
        <v>1.4260201729055355</v>
      </c>
      <c r="E9" s="8">
        <v>1.9808669241701402</v>
      </c>
      <c r="F9" s="8">
        <v>2.9729563517598891</v>
      </c>
      <c r="G9" s="8">
        <v>10.321103389423788</v>
      </c>
      <c r="H9" s="8">
        <v>6.4090025990253991</v>
      </c>
      <c r="I9" s="9">
        <v>4.1140411196698476</v>
      </c>
    </row>
    <row r="10" spans="2:10" x14ac:dyDescent="0.25">
      <c r="C10" s="22" t="s">
        <v>2055</v>
      </c>
      <c r="D10" s="18">
        <v>2.0335335335335336</v>
      </c>
      <c r="E10" s="8">
        <v>3.9238337712712719</v>
      </c>
      <c r="F10" s="8">
        <v>8.8384694694694694</v>
      </c>
      <c r="G10" s="8">
        <v>106.52517517517519</v>
      </c>
      <c r="H10" s="8">
        <v>41.075314314314319</v>
      </c>
      <c r="I10" s="9">
        <v>16.925334334334334</v>
      </c>
    </row>
    <row r="11" spans="2:10" x14ac:dyDescent="0.25">
      <c r="C11" s="22" t="s">
        <v>2056</v>
      </c>
      <c r="D11" s="18">
        <v>-1.3193470064578778</v>
      </c>
      <c r="E11" s="8">
        <v>-0.26138233338105632</v>
      </c>
      <c r="F11" s="8">
        <v>1.8657830182311295</v>
      </c>
      <c r="G11" s="8">
        <v>0.84266784579140586</v>
      </c>
      <c r="H11" s="8">
        <v>2.0074640302928297</v>
      </c>
      <c r="I11" s="9">
        <v>-0.30109506023745469</v>
      </c>
    </row>
    <row r="12" spans="2:10" x14ac:dyDescent="0.25">
      <c r="C12" s="22" t="s">
        <v>2057</v>
      </c>
      <c r="D12" s="18">
        <v>6.7394952717698658E-2</v>
      </c>
      <c r="E12" s="8">
        <v>0.85056523148947061</v>
      </c>
      <c r="F12" s="8">
        <v>1.4901665363717402</v>
      </c>
      <c r="G12" s="8">
        <v>1.0586973668880557</v>
      </c>
      <c r="H12" s="8">
        <v>1.3943877321904952</v>
      </c>
      <c r="I12" s="9">
        <v>0.64566616228070361</v>
      </c>
    </row>
    <row r="13" spans="2:10" x14ac:dyDescent="0.25">
      <c r="C13" s="22" t="s">
        <v>2058</v>
      </c>
      <c r="D13" s="18">
        <v>4</v>
      </c>
      <c r="E13" s="8">
        <v>7</v>
      </c>
      <c r="F13" s="8">
        <v>13</v>
      </c>
      <c r="G13" s="8">
        <v>47</v>
      </c>
      <c r="H13" s="8">
        <v>32</v>
      </c>
      <c r="I13" s="9">
        <v>17.25</v>
      </c>
    </row>
    <row r="14" spans="2:10" x14ac:dyDescent="0.25">
      <c r="C14" s="22" t="s">
        <v>2059</v>
      </c>
      <c r="D14" s="18">
        <v>1</v>
      </c>
      <c r="E14" s="8">
        <v>3</v>
      </c>
      <c r="F14" s="8">
        <v>1</v>
      </c>
      <c r="G14" s="8">
        <v>3</v>
      </c>
      <c r="H14" s="8">
        <v>1</v>
      </c>
      <c r="I14" s="9">
        <v>1.5</v>
      </c>
    </row>
    <row r="15" spans="2:10" x14ac:dyDescent="0.25">
      <c r="C15" s="22" t="s">
        <v>2060</v>
      </c>
      <c r="D15" s="18">
        <v>5</v>
      </c>
      <c r="E15" s="8">
        <v>10</v>
      </c>
      <c r="F15" s="8">
        <v>14</v>
      </c>
      <c r="G15" s="8">
        <v>50</v>
      </c>
      <c r="H15" s="8">
        <v>33</v>
      </c>
      <c r="I15" s="9">
        <v>18.75</v>
      </c>
    </row>
    <row r="16" spans="2:10" x14ac:dyDescent="0.25">
      <c r="C16" s="22" t="s">
        <v>2061</v>
      </c>
      <c r="D16" s="18">
        <v>2950</v>
      </c>
      <c r="E16" s="8">
        <v>5505.25</v>
      </c>
      <c r="F16" s="8">
        <v>3787</v>
      </c>
      <c r="G16" s="8">
        <v>16290</v>
      </c>
      <c r="H16" s="8">
        <v>9069</v>
      </c>
      <c r="I16" s="9">
        <v>7221</v>
      </c>
    </row>
    <row r="17" spans="2:10" ht="15.75" thickBot="1" x14ac:dyDescent="0.3">
      <c r="C17" s="23" t="s">
        <v>2062</v>
      </c>
      <c r="D17" s="19">
        <v>1000</v>
      </c>
      <c r="E17" s="10">
        <v>1000</v>
      </c>
      <c r="F17" s="10">
        <v>1000</v>
      </c>
      <c r="G17" s="10">
        <v>1000</v>
      </c>
      <c r="H17" s="10">
        <v>1000</v>
      </c>
      <c r="I17" s="11">
        <v>1000</v>
      </c>
    </row>
    <row r="19" spans="2:10" ht="15.75" thickBot="1" x14ac:dyDescent="0.3"/>
    <row r="20" spans="2:10" ht="21" customHeight="1" thickBot="1" x14ac:dyDescent="0.3">
      <c r="B20" s="95" t="s">
        <v>2081</v>
      </c>
      <c r="C20" s="96"/>
      <c r="D20" s="96"/>
      <c r="E20" s="96"/>
      <c r="F20" s="96"/>
      <c r="G20" s="96"/>
      <c r="H20" s="96"/>
      <c r="I20" s="96"/>
      <c r="J20" s="97"/>
    </row>
    <row r="21" spans="2:10" x14ac:dyDescent="0.25">
      <c r="C21" s="1"/>
      <c r="D21" s="1"/>
      <c r="E21" s="1"/>
      <c r="F21" s="1"/>
      <c r="G21" s="1"/>
      <c r="H21" s="1"/>
      <c r="I21" s="1"/>
    </row>
    <row r="22" spans="2:10" ht="15.75" x14ac:dyDescent="0.25">
      <c r="C22" s="92" t="s">
        <v>2154</v>
      </c>
      <c r="D22" s="92"/>
      <c r="E22" s="92"/>
      <c r="F22" s="92"/>
      <c r="G22" s="92"/>
      <c r="H22" s="92"/>
      <c r="I22" s="92"/>
    </row>
    <row r="23" spans="2:10" ht="15" customHeight="1" x14ac:dyDescent="0.25">
      <c r="C23" s="94" t="s">
        <v>2153</v>
      </c>
      <c r="D23" s="94"/>
      <c r="E23" s="94"/>
      <c r="F23" s="94"/>
      <c r="G23" s="94"/>
      <c r="H23" s="94"/>
      <c r="I23" s="94"/>
    </row>
    <row r="24" spans="2:10" x14ac:dyDescent="0.25">
      <c r="C24" s="94"/>
      <c r="D24" s="94"/>
      <c r="E24" s="94"/>
      <c r="F24" s="94"/>
      <c r="G24" s="94"/>
      <c r="H24" s="94"/>
      <c r="I24" s="94"/>
    </row>
    <row r="25" spans="2:10" x14ac:dyDescent="0.25">
      <c r="C25" s="1"/>
      <c r="D25" s="1"/>
      <c r="E25" s="1"/>
      <c r="F25" s="1"/>
      <c r="G25" s="1"/>
      <c r="H25" s="1"/>
      <c r="I25" s="1"/>
    </row>
    <row r="26" spans="2:10" ht="15.75" x14ac:dyDescent="0.25">
      <c r="C26" s="92" t="s">
        <v>2155</v>
      </c>
      <c r="D26" s="92"/>
      <c r="E26" s="92"/>
      <c r="F26" s="92"/>
      <c r="G26" s="92"/>
      <c r="H26" s="92"/>
      <c r="I26" s="92"/>
    </row>
    <row r="27" spans="2:10" x14ac:dyDescent="0.25">
      <c r="C27" s="98" t="s">
        <v>2156</v>
      </c>
      <c r="D27" s="98"/>
      <c r="E27" s="98"/>
      <c r="F27" s="98"/>
      <c r="G27" s="98"/>
      <c r="H27" s="98"/>
      <c r="I27" s="98"/>
    </row>
    <row r="28" spans="2:10" x14ac:dyDescent="0.25">
      <c r="C28" s="98" t="s">
        <v>2157</v>
      </c>
      <c r="D28" s="98"/>
      <c r="E28" s="98"/>
      <c r="F28" s="98"/>
      <c r="G28" s="98"/>
      <c r="H28" s="98"/>
      <c r="I28" s="98"/>
    </row>
    <row r="29" spans="2:10" x14ac:dyDescent="0.25">
      <c r="C29" s="6"/>
      <c r="D29" s="6"/>
      <c r="E29" s="6"/>
      <c r="F29" s="6"/>
      <c r="G29" s="6"/>
      <c r="H29" s="6"/>
      <c r="I29" s="6"/>
    </row>
    <row r="30" spans="2:10" ht="15.75" x14ac:dyDescent="0.25">
      <c r="B30" s="46"/>
      <c r="C30" s="101" t="s">
        <v>2065</v>
      </c>
      <c r="D30" s="101"/>
      <c r="E30" s="101"/>
      <c r="F30" s="101"/>
      <c r="G30" s="101"/>
      <c r="H30" s="101"/>
      <c r="I30" s="101"/>
      <c r="J30" s="47"/>
    </row>
    <row r="31" spans="2:10" x14ac:dyDescent="0.25">
      <c r="B31" s="44"/>
      <c r="C31" s="7"/>
      <c r="D31" s="7"/>
      <c r="E31" s="7"/>
      <c r="F31" s="7"/>
      <c r="G31" s="7"/>
      <c r="H31" s="7"/>
      <c r="I31" s="7"/>
      <c r="J31" s="48"/>
    </row>
    <row r="32" spans="2:10" ht="16.5" thickBot="1" x14ac:dyDescent="0.3">
      <c r="B32" s="44"/>
      <c r="C32" s="100" t="s">
        <v>2066</v>
      </c>
      <c r="D32" s="100"/>
      <c r="E32" s="100"/>
      <c r="F32" s="100"/>
      <c r="G32" s="100"/>
      <c r="H32" s="7"/>
      <c r="I32" s="7"/>
      <c r="J32" s="48"/>
    </row>
    <row r="33" spans="2:10" ht="15.75" x14ac:dyDescent="0.25">
      <c r="B33" s="44"/>
      <c r="C33" s="42" t="s">
        <v>2067</v>
      </c>
      <c r="D33" s="41" t="s">
        <v>2062</v>
      </c>
      <c r="E33" s="39" t="s">
        <v>2061</v>
      </c>
      <c r="F33" s="39" t="s">
        <v>2068</v>
      </c>
      <c r="G33" s="40" t="s">
        <v>2069</v>
      </c>
      <c r="H33" s="7"/>
      <c r="I33" s="7"/>
      <c r="J33" s="48"/>
    </row>
    <row r="34" spans="2:10" x14ac:dyDescent="0.25">
      <c r="B34" s="44"/>
      <c r="C34" s="22" t="s">
        <v>65</v>
      </c>
      <c r="D34" s="18">
        <v>264</v>
      </c>
      <c r="E34" s="8">
        <v>1368.75</v>
      </c>
      <c r="F34" s="8">
        <v>5.1846590909090908</v>
      </c>
      <c r="G34" s="9">
        <v>6.8191458909436573</v>
      </c>
      <c r="H34" s="7"/>
      <c r="I34" s="7"/>
      <c r="J34" s="48"/>
    </row>
    <row r="35" spans="2:10" x14ac:dyDescent="0.25">
      <c r="B35" s="44"/>
      <c r="C35" s="22" t="s">
        <v>26</v>
      </c>
      <c r="D35" s="18">
        <v>159</v>
      </c>
      <c r="E35" s="8">
        <v>1026</v>
      </c>
      <c r="F35" s="8">
        <v>6.4528301886792452</v>
      </c>
      <c r="G35" s="9">
        <v>9.7145330785765456</v>
      </c>
      <c r="H35" s="7"/>
      <c r="I35" s="7"/>
      <c r="J35" s="48"/>
    </row>
    <row r="36" spans="2:10" x14ac:dyDescent="0.25">
      <c r="B36" s="44"/>
      <c r="C36" s="22" t="s">
        <v>22</v>
      </c>
      <c r="D36" s="18">
        <v>212</v>
      </c>
      <c r="E36" s="8">
        <v>2170</v>
      </c>
      <c r="F36" s="8">
        <v>10.235849056603774</v>
      </c>
      <c r="G36" s="9">
        <v>25.238542877582045</v>
      </c>
      <c r="H36" s="7"/>
      <c r="I36" s="7"/>
      <c r="J36" s="48"/>
    </row>
    <row r="37" spans="2:10" x14ac:dyDescent="0.25">
      <c r="B37" s="44"/>
      <c r="C37" s="22" t="s">
        <v>11</v>
      </c>
      <c r="D37" s="18">
        <v>179</v>
      </c>
      <c r="E37" s="8">
        <v>1448</v>
      </c>
      <c r="F37" s="8">
        <v>8.089385474860336</v>
      </c>
      <c r="G37" s="9">
        <v>17.580448496641765</v>
      </c>
      <c r="H37" s="7"/>
      <c r="I37" s="7"/>
      <c r="J37" s="48"/>
    </row>
    <row r="38" spans="2:10" ht="15.75" thickBot="1" x14ac:dyDescent="0.3">
      <c r="B38" s="44"/>
      <c r="C38" s="23" t="s">
        <v>17</v>
      </c>
      <c r="D38" s="19">
        <v>186</v>
      </c>
      <c r="E38" s="10">
        <v>1208.25</v>
      </c>
      <c r="F38" s="10">
        <v>6.495967741935484</v>
      </c>
      <c r="G38" s="11">
        <v>9.6064025719267665</v>
      </c>
      <c r="H38" s="7"/>
      <c r="I38" s="7"/>
      <c r="J38" s="48"/>
    </row>
    <row r="39" spans="2:10" x14ac:dyDescent="0.25">
      <c r="B39" s="44"/>
      <c r="C39" s="7"/>
      <c r="D39" s="7"/>
      <c r="E39" s="7"/>
      <c r="F39" s="7"/>
      <c r="G39" s="7"/>
      <c r="H39" s="7"/>
      <c r="I39" s="7"/>
      <c r="J39" s="48"/>
    </row>
    <row r="40" spans="2:10" ht="16.5" thickBot="1" x14ac:dyDescent="0.3">
      <c r="B40" s="44"/>
      <c r="C40" s="100" t="s">
        <v>2070</v>
      </c>
      <c r="D40" s="100"/>
      <c r="E40" s="100"/>
      <c r="F40" s="100"/>
      <c r="G40" s="100"/>
      <c r="H40" s="100"/>
      <c r="I40" s="100"/>
      <c r="J40" s="48"/>
    </row>
    <row r="41" spans="2:10" ht="15.75" x14ac:dyDescent="0.25">
      <c r="B41" s="44"/>
      <c r="C41" s="36" t="s">
        <v>2071</v>
      </c>
      <c r="D41" s="33" t="s">
        <v>2072</v>
      </c>
      <c r="E41" s="28" t="s">
        <v>2073</v>
      </c>
      <c r="F41" s="28" t="s">
        <v>2074</v>
      </c>
      <c r="G41" s="28" t="s">
        <v>2075</v>
      </c>
      <c r="H41" s="28" t="s">
        <v>2076</v>
      </c>
      <c r="I41" s="29" t="s">
        <v>2077</v>
      </c>
      <c r="J41" s="48"/>
    </row>
    <row r="42" spans="2:10" x14ac:dyDescent="0.25">
      <c r="B42" s="44"/>
      <c r="C42" s="37" t="s">
        <v>2078</v>
      </c>
      <c r="D42" s="34">
        <v>3348.2405488881959</v>
      </c>
      <c r="E42" s="27">
        <v>4</v>
      </c>
      <c r="F42" s="27">
        <v>837.06013722204898</v>
      </c>
      <c r="G42" s="27">
        <v>61.420685114546046</v>
      </c>
      <c r="H42" s="27">
        <v>2.0828467887325739E-46</v>
      </c>
      <c r="I42" s="30">
        <v>2.3808758069288722</v>
      </c>
      <c r="J42" s="48"/>
    </row>
    <row r="43" spans="2:10" x14ac:dyDescent="0.25">
      <c r="B43" s="44"/>
      <c r="C43" s="37" t="s">
        <v>2079</v>
      </c>
      <c r="D43" s="34">
        <v>13560.168451111789</v>
      </c>
      <c r="E43" s="27">
        <v>995</v>
      </c>
      <c r="F43" s="27">
        <v>13.628310001117375</v>
      </c>
      <c r="G43" s="27"/>
      <c r="H43" s="27"/>
      <c r="I43" s="30"/>
      <c r="J43" s="48"/>
    </row>
    <row r="44" spans="2:10" ht="15.75" thickBot="1" x14ac:dyDescent="0.3">
      <c r="B44" s="44"/>
      <c r="C44" s="38" t="s">
        <v>2080</v>
      </c>
      <c r="D44" s="35">
        <v>16908.408999999985</v>
      </c>
      <c r="E44" s="31">
        <v>999</v>
      </c>
      <c r="F44" s="31"/>
      <c r="G44" s="31"/>
      <c r="H44" s="31"/>
      <c r="I44" s="32"/>
      <c r="J44" s="48"/>
    </row>
    <row r="45" spans="2:10" x14ac:dyDescent="0.25">
      <c r="B45" s="45"/>
      <c r="C45" s="43"/>
      <c r="D45" s="43"/>
      <c r="E45" s="43"/>
      <c r="F45" s="43"/>
      <c r="G45" s="43"/>
      <c r="H45" s="43"/>
      <c r="I45" s="43"/>
      <c r="J45" s="49"/>
    </row>
    <row r="47" spans="2:10" ht="15.75" x14ac:dyDescent="0.25">
      <c r="C47" s="92" t="s">
        <v>2159</v>
      </c>
      <c r="D47" s="92"/>
      <c r="E47" s="92"/>
      <c r="F47" s="92"/>
      <c r="G47" s="92"/>
      <c r="H47" s="92"/>
      <c r="I47" s="92"/>
    </row>
    <row r="48" spans="2:10" ht="15" customHeight="1" x14ac:dyDescent="0.25">
      <c r="C48" s="99" t="s">
        <v>2082</v>
      </c>
      <c r="D48" s="92"/>
      <c r="E48" s="92"/>
      <c r="F48" s="92"/>
      <c r="G48" s="92"/>
      <c r="H48" s="92"/>
      <c r="I48" s="92"/>
    </row>
    <row r="49" spans="3:9" ht="15.75" x14ac:dyDescent="0.25">
      <c r="C49" s="99" t="s">
        <v>2158</v>
      </c>
      <c r="D49" s="92"/>
      <c r="E49" s="92"/>
      <c r="F49" s="92"/>
      <c r="G49" s="92"/>
      <c r="H49" s="92"/>
      <c r="I49" s="92"/>
    </row>
    <row r="51" spans="3:9" ht="15.75" x14ac:dyDescent="0.25">
      <c r="C51" s="92" t="s">
        <v>2160</v>
      </c>
      <c r="D51" s="92"/>
      <c r="E51" s="92"/>
      <c r="F51" s="92"/>
      <c r="G51" s="92"/>
      <c r="H51" s="92"/>
      <c r="I51" s="92"/>
    </row>
    <row r="52" spans="3:9" x14ac:dyDescent="0.25">
      <c r="C52" s="94" t="s">
        <v>2161</v>
      </c>
      <c r="D52" s="94"/>
      <c r="E52" s="94"/>
      <c r="F52" s="94"/>
      <c r="G52" s="94"/>
      <c r="H52" s="94"/>
      <c r="I52" s="94"/>
    </row>
    <row r="53" spans="3:9" x14ac:dyDescent="0.25">
      <c r="C53" s="94"/>
      <c r="D53" s="94"/>
      <c r="E53" s="94"/>
      <c r="F53" s="94"/>
      <c r="G53" s="94"/>
      <c r="H53" s="94"/>
      <c r="I53" s="94"/>
    </row>
    <row r="55" spans="3:9" ht="15.75" x14ac:dyDescent="0.25">
      <c r="C55" s="92" t="s">
        <v>2162</v>
      </c>
      <c r="D55" s="92"/>
      <c r="E55" s="92"/>
      <c r="F55" s="92"/>
      <c r="G55" s="92"/>
      <c r="H55" s="92"/>
      <c r="I55" s="92"/>
    </row>
    <row r="56" spans="3:9" x14ac:dyDescent="0.25">
      <c r="C56" s="93" t="s">
        <v>2163</v>
      </c>
      <c r="D56" s="93"/>
      <c r="E56" s="93"/>
      <c r="F56" s="93"/>
      <c r="G56" s="93"/>
      <c r="H56" s="93"/>
      <c r="I56" s="93"/>
    </row>
    <row r="58" spans="3:9" ht="15.75" x14ac:dyDescent="0.25">
      <c r="C58" s="24" t="s">
        <v>2164</v>
      </c>
    </row>
    <row r="59" spans="3:9" x14ac:dyDescent="0.25">
      <c r="C59" s="94" t="s">
        <v>2165</v>
      </c>
      <c r="D59" s="94"/>
      <c r="E59" s="94"/>
      <c r="F59" s="94"/>
      <c r="G59" s="94"/>
      <c r="H59" s="94"/>
      <c r="I59" s="94"/>
    </row>
    <row r="60" spans="3:9" x14ac:dyDescent="0.25">
      <c r="C60" s="94"/>
      <c r="D60" s="94"/>
      <c r="E60" s="94"/>
      <c r="F60" s="94"/>
      <c r="G60" s="94"/>
      <c r="H60" s="94"/>
      <c r="I60" s="94"/>
    </row>
    <row r="62" spans="3:9" ht="15.75" x14ac:dyDescent="0.25">
      <c r="D62" s="25" t="s">
        <v>65</v>
      </c>
      <c r="E62" s="25" t="s">
        <v>26</v>
      </c>
      <c r="F62" s="25" t="s">
        <v>22</v>
      </c>
      <c r="G62" s="25" t="s">
        <v>11</v>
      </c>
      <c r="H62" s="25" t="s">
        <v>17</v>
      </c>
    </row>
    <row r="63" spans="3:9" x14ac:dyDescent="0.25">
      <c r="D63" s="1">
        <v>5.5</v>
      </c>
      <c r="E63" s="1">
        <v>6.25</v>
      </c>
      <c r="F63" s="1">
        <v>14</v>
      </c>
      <c r="G63" s="1">
        <v>8.5</v>
      </c>
      <c r="H63" s="1">
        <v>6.5</v>
      </c>
    </row>
    <row r="64" spans="3:9" x14ac:dyDescent="0.25">
      <c r="D64" s="1">
        <v>4</v>
      </c>
      <c r="E64" s="1">
        <v>2.5</v>
      </c>
      <c r="F64" s="1">
        <v>11.25</v>
      </c>
      <c r="G64" s="1">
        <v>11</v>
      </c>
      <c r="H64" s="1">
        <v>9</v>
      </c>
    </row>
    <row r="65" spans="4:8" x14ac:dyDescent="0.25">
      <c r="D65" s="1">
        <v>5.5</v>
      </c>
      <c r="E65" s="1">
        <v>6.75</v>
      </c>
      <c r="F65" s="1">
        <v>7</v>
      </c>
      <c r="G65" s="1">
        <v>2.5</v>
      </c>
      <c r="H65" s="1">
        <v>6.75</v>
      </c>
    </row>
    <row r="66" spans="4:8" x14ac:dyDescent="0.25">
      <c r="D66" s="1">
        <v>8</v>
      </c>
      <c r="E66" s="1">
        <v>10.5</v>
      </c>
      <c r="F66" s="1">
        <v>13</v>
      </c>
      <c r="G66" s="1">
        <v>5.5</v>
      </c>
      <c r="H66" s="1">
        <v>9</v>
      </c>
    </row>
    <row r="67" spans="4:8" x14ac:dyDescent="0.25">
      <c r="D67" s="1">
        <v>7</v>
      </c>
      <c r="E67" s="1">
        <v>2.5</v>
      </c>
      <c r="F67" s="1">
        <v>3</v>
      </c>
      <c r="G67" s="1">
        <v>8.25</v>
      </c>
      <c r="H67" s="1">
        <v>9</v>
      </c>
    </row>
    <row r="68" spans="4:8" x14ac:dyDescent="0.25">
      <c r="D68" s="1">
        <v>4</v>
      </c>
      <c r="E68" s="1">
        <v>2.5</v>
      </c>
      <c r="F68" s="1">
        <v>13</v>
      </c>
      <c r="G68" s="1">
        <v>13.5</v>
      </c>
      <c r="H68" s="1">
        <v>9</v>
      </c>
    </row>
    <row r="69" spans="4:8" x14ac:dyDescent="0.25">
      <c r="D69" s="1">
        <v>8</v>
      </c>
      <c r="E69" s="1">
        <v>4.5</v>
      </c>
      <c r="F69" s="1">
        <v>17</v>
      </c>
      <c r="G69" s="1">
        <v>13.5</v>
      </c>
      <c r="H69" s="1">
        <v>4.5</v>
      </c>
    </row>
    <row r="70" spans="4:8" x14ac:dyDescent="0.25">
      <c r="D70" s="1">
        <v>2</v>
      </c>
      <c r="E70" s="1">
        <v>2.25</v>
      </c>
      <c r="F70" s="1">
        <v>14</v>
      </c>
      <c r="G70" s="1">
        <v>5</v>
      </c>
      <c r="H70" s="1">
        <v>10.5</v>
      </c>
    </row>
    <row r="71" spans="4:8" x14ac:dyDescent="0.25">
      <c r="D71" s="1">
        <v>2</v>
      </c>
      <c r="E71" s="1">
        <v>6.5</v>
      </c>
      <c r="F71" s="1">
        <v>13</v>
      </c>
      <c r="G71" s="1">
        <v>11</v>
      </c>
      <c r="H71" s="1">
        <v>2</v>
      </c>
    </row>
    <row r="72" spans="4:8" x14ac:dyDescent="0.25">
      <c r="D72" s="1">
        <v>9.5</v>
      </c>
      <c r="E72" s="1">
        <v>11.5</v>
      </c>
      <c r="F72" s="1">
        <v>16.5</v>
      </c>
      <c r="G72" s="1">
        <v>5</v>
      </c>
      <c r="H72" s="1">
        <v>9</v>
      </c>
    </row>
    <row r="73" spans="4:8" x14ac:dyDescent="0.25">
      <c r="D73" s="1">
        <v>5.25</v>
      </c>
      <c r="E73" s="1">
        <v>11.5</v>
      </c>
      <c r="F73" s="1">
        <v>7</v>
      </c>
      <c r="G73" s="1">
        <v>11</v>
      </c>
      <c r="H73" s="1">
        <v>11</v>
      </c>
    </row>
    <row r="74" spans="4:8" x14ac:dyDescent="0.25">
      <c r="D74" s="1">
        <v>5</v>
      </c>
      <c r="E74" s="1">
        <v>6.5</v>
      </c>
      <c r="F74" s="1">
        <v>7.5</v>
      </c>
      <c r="G74" s="1">
        <v>2.5</v>
      </c>
      <c r="H74" s="1">
        <v>6.5</v>
      </c>
    </row>
    <row r="75" spans="4:8" x14ac:dyDescent="0.25">
      <c r="D75" s="1">
        <v>5</v>
      </c>
      <c r="E75" s="1">
        <v>4</v>
      </c>
      <c r="F75" s="1">
        <v>7</v>
      </c>
      <c r="G75" s="1">
        <v>2.5</v>
      </c>
      <c r="H75" s="1">
        <v>6.5</v>
      </c>
    </row>
    <row r="76" spans="4:8" x14ac:dyDescent="0.25">
      <c r="D76" s="1">
        <v>9.5</v>
      </c>
      <c r="E76" s="1">
        <v>2.25</v>
      </c>
      <c r="F76" s="1">
        <v>7.5</v>
      </c>
      <c r="G76" s="1">
        <v>7.5</v>
      </c>
      <c r="H76" s="1">
        <v>10.75</v>
      </c>
    </row>
    <row r="77" spans="4:8" x14ac:dyDescent="0.25">
      <c r="D77" s="1">
        <v>6</v>
      </c>
      <c r="E77" s="1">
        <v>6.5</v>
      </c>
      <c r="F77" s="1">
        <v>16.5</v>
      </c>
      <c r="G77" s="1">
        <v>5</v>
      </c>
      <c r="H77" s="1">
        <v>4</v>
      </c>
    </row>
    <row r="78" spans="4:8" x14ac:dyDescent="0.25">
      <c r="D78" s="1">
        <v>4</v>
      </c>
      <c r="E78" s="1">
        <v>9</v>
      </c>
      <c r="F78" s="1">
        <v>10</v>
      </c>
      <c r="G78" s="1">
        <v>2.5</v>
      </c>
      <c r="H78" s="1">
        <v>10.5</v>
      </c>
    </row>
    <row r="79" spans="4:8" x14ac:dyDescent="0.25">
      <c r="D79" s="1">
        <v>8</v>
      </c>
      <c r="E79" s="1">
        <v>2.5</v>
      </c>
      <c r="F79" s="1">
        <v>16.5</v>
      </c>
      <c r="G79" s="1">
        <v>5</v>
      </c>
      <c r="H79" s="1">
        <v>9</v>
      </c>
    </row>
    <row r="80" spans="4:8" x14ac:dyDescent="0.25">
      <c r="D80" s="1">
        <v>2</v>
      </c>
      <c r="E80" s="1">
        <v>4.5</v>
      </c>
      <c r="F80" s="1">
        <v>15</v>
      </c>
      <c r="G80" s="1">
        <v>5</v>
      </c>
      <c r="H80" s="1">
        <v>6.75</v>
      </c>
    </row>
    <row r="81" spans="4:8" x14ac:dyDescent="0.25">
      <c r="D81" s="1">
        <v>3</v>
      </c>
      <c r="E81" s="1">
        <v>6.5</v>
      </c>
      <c r="F81" s="1">
        <v>14</v>
      </c>
      <c r="G81" s="1">
        <v>2.75</v>
      </c>
      <c r="H81" s="1">
        <v>4</v>
      </c>
    </row>
    <row r="82" spans="4:8" x14ac:dyDescent="0.25">
      <c r="D82" s="1">
        <v>6</v>
      </c>
      <c r="E82" s="1">
        <v>2.25</v>
      </c>
      <c r="F82" s="1">
        <v>3</v>
      </c>
      <c r="G82" s="1">
        <v>2.5</v>
      </c>
      <c r="H82" s="1">
        <v>2.25</v>
      </c>
    </row>
    <row r="83" spans="4:8" x14ac:dyDescent="0.25">
      <c r="D83" s="1">
        <v>9.5</v>
      </c>
      <c r="E83" s="1">
        <v>4.5</v>
      </c>
      <c r="F83" s="1">
        <v>7</v>
      </c>
      <c r="G83" s="1">
        <v>14.75</v>
      </c>
      <c r="H83" s="1">
        <v>9</v>
      </c>
    </row>
    <row r="84" spans="4:8" x14ac:dyDescent="0.25">
      <c r="D84" s="1">
        <v>2</v>
      </c>
      <c r="E84" s="1">
        <v>4.5</v>
      </c>
      <c r="F84" s="1">
        <v>7</v>
      </c>
      <c r="G84" s="1">
        <v>11</v>
      </c>
      <c r="H84" s="1">
        <v>6.75</v>
      </c>
    </row>
    <row r="85" spans="4:8" x14ac:dyDescent="0.25">
      <c r="D85" s="1">
        <v>4</v>
      </c>
      <c r="E85" s="1">
        <v>2.5</v>
      </c>
      <c r="F85" s="1">
        <v>7</v>
      </c>
      <c r="G85" s="1">
        <v>13.5</v>
      </c>
      <c r="H85" s="1">
        <v>9</v>
      </c>
    </row>
    <row r="86" spans="4:8" x14ac:dyDescent="0.25">
      <c r="D86" s="1">
        <v>6</v>
      </c>
      <c r="E86" s="1">
        <v>9</v>
      </c>
      <c r="F86" s="1">
        <v>7.5</v>
      </c>
      <c r="G86" s="1">
        <v>7.5</v>
      </c>
      <c r="H86" s="1">
        <v>1.75</v>
      </c>
    </row>
    <row r="87" spans="4:8" x14ac:dyDescent="0.25">
      <c r="D87" s="1">
        <v>6</v>
      </c>
      <c r="E87" s="1">
        <v>9</v>
      </c>
      <c r="F87" s="1">
        <v>10</v>
      </c>
      <c r="G87" s="1">
        <v>7.5</v>
      </c>
      <c r="H87" s="1">
        <v>4</v>
      </c>
    </row>
    <row r="88" spans="4:8" x14ac:dyDescent="0.25">
      <c r="D88" s="1">
        <v>8</v>
      </c>
      <c r="E88" s="1">
        <v>4</v>
      </c>
      <c r="F88" s="1">
        <v>3.5</v>
      </c>
      <c r="G88" s="1">
        <v>5.5</v>
      </c>
      <c r="H88" s="1">
        <v>9</v>
      </c>
    </row>
    <row r="89" spans="4:8" x14ac:dyDescent="0.25">
      <c r="D89" s="1">
        <v>3.5</v>
      </c>
      <c r="E89" s="1">
        <v>4.5</v>
      </c>
      <c r="F89" s="1">
        <v>15</v>
      </c>
      <c r="G89" s="1">
        <v>5</v>
      </c>
      <c r="H89" s="1">
        <v>6.5</v>
      </c>
    </row>
    <row r="90" spans="4:8" x14ac:dyDescent="0.25">
      <c r="D90" s="1">
        <v>5</v>
      </c>
      <c r="E90" s="1">
        <v>2.5</v>
      </c>
      <c r="F90" s="1">
        <v>10</v>
      </c>
      <c r="G90" s="1">
        <v>2.5</v>
      </c>
      <c r="H90" s="1">
        <v>2.25</v>
      </c>
    </row>
    <row r="91" spans="4:8" x14ac:dyDescent="0.25">
      <c r="D91" s="1">
        <v>8</v>
      </c>
      <c r="E91" s="1">
        <v>2.25</v>
      </c>
      <c r="F91" s="1">
        <v>10</v>
      </c>
      <c r="G91" s="1">
        <v>14.25</v>
      </c>
      <c r="H91" s="1">
        <v>2</v>
      </c>
    </row>
    <row r="92" spans="4:8" x14ac:dyDescent="0.25">
      <c r="D92" s="1">
        <v>9.75</v>
      </c>
      <c r="E92" s="1">
        <v>2.25</v>
      </c>
      <c r="F92" s="1">
        <v>14</v>
      </c>
      <c r="G92" s="1">
        <v>5</v>
      </c>
      <c r="H92" s="1">
        <v>11.25</v>
      </c>
    </row>
    <row r="93" spans="4:8" x14ac:dyDescent="0.25">
      <c r="D93" s="1">
        <v>3</v>
      </c>
      <c r="E93" s="1">
        <v>9</v>
      </c>
      <c r="F93" s="1">
        <v>10.5</v>
      </c>
      <c r="G93" s="1">
        <v>5</v>
      </c>
      <c r="H93" s="1">
        <v>6.25</v>
      </c>
    </row>
    <row r="94" spans="4:8" x14ac:dyDescent="0.25">
      <c r="D94" s="1">
        <v>7</v>
      </c>
      <c r="E94" s="1">
        <v>2.5</v>
      </c>
      <c r="F94" s="1">
        <v>10</v>
      </c>
      <c r="G94" s="1">
        <v>2.5</v>
      </c>
      <c r="H94" s="1">
        <v>10.5</v>
      </c>
    </row>
    <row r="95" spans="4:8" x14ac:dyDescent="0.25">
      <c r="D95" s="1">
        <v>5.25</v>
      </c>
      <c r="E95" s="1">
        <v>2.25</v>
      </c>
      <c r="F95" s="1">
        <v>10</v>
      </c>
      <c r="G95" s="1">
        <v>2.5</v>
      </c>
      <c r="H95" s="1">
        <v>2.25</v>
      </c>
    </row>
    <row r="96" spans="4:8" x14ac:dyDescent="0.25">
      <c r="D96" s="1">
        <v>5.25</v>
      </c>
      <c r="E96" s="1">
        <v>9</v>
      </c>
      <c r="F96" s="1">
        <v>16.5</v>
      </c>
      <c r="G96" s="1">
        <v>13.5</v>
      </c>
      <c r="H96" s="1">
        <v>7</v>
      </c>
    </row>
    <row r="97" spans="4:8" x14ac:dyDescent="0.25">
      <c r="D97" s="1">
        <v>1.5</v>
      </c>
      <c r="E97" s="1">
        <v>4</v>
      </c>
      <c r="F97" s="1">
        <v>17</v>
      </c>
      <c r="G97" s="1">
        <v>11</v>
      </c>
      <c r="H97" s="1">
        <v>4.5</v>
      </c>
    </row>
    <row r="98" spans="4:8" x14ac:dyDescent="0.25">
      <c r="D98" s="1">
        <v>10</v>
      </c>
      <c r="E98" s="1">
        <v>6.75</v>
      </c>
      <c r="F98" s="1">
        <v>17</v>
      </c>
      <c r="G98" s="1">
        <v>11</v>
      </c>
      <c r="H98" s="1">
        <v>2.5</v>
      </c>
    </row>
    <row r="99" spans="4:8" x14ac:dyDescent="0.25">
      <c r="D99" s="1">
        <v>9.75</v>
      </c>
      <c r="E99" s="1">
        <v>11.25</v>
      </c>
      <c r="F99" s="1">
        <v>3</v>
      </c>
      <c r="G99" s="1">
        <v>5.5</v>
      </c>
      <c r="H99" s="1">
        <v>4</v>
      </c>
    </row>
    <row r="100" spans="4:8" x14ac:dyDescent="0.25">
      <c r="D100" s="1">
        <v>3</v>
      </c>
      <c r="E100" s="1">
        <v>9</v>
      </c>
      <c r="F100" s="1">
        <v>15</v>
      </c>
      <c r="G100" s="1">
        <v>14.75</v>
      </c>
      <c r="H100" s="1">
        <v>1.75</v>
      </c>
    </row>
    <row r="101" spans="4:8" x14ac:dyDescent="0.25">
      <c r="D101" s="1">
        <v>10</v>
      </c>
      <c r="E101" s="1">
        <v>6.5</v>
      </c>
      <c r="F101" s="1">
        <v>18.75</v>
      </c>
      <c r="G101" s="1">
        <v>11</v>
      </c>
      <c r="H101" s="1">
        <v>9</v>
      </c>
    </row>
    <row r="102" spans="4:8" x14ac:dyDescent="0.25">
      <c r="D102" s="1">
        <v>3</v>
      </c>
      <c r="E102" s="1">
        <v>9</v>
      </c>
      <c r="F102" s="1">
        <v>10.5</v>
      </c>
      <c r="G102" s="1">
        <v>2.5</v>
      </c>
      <c r="H102" s="1">
        <v>6.25</v>
      </c>
    </row>
    <row r="103" spans="4:8" x14ac:dyDescent="0.25">
      <c r="D103" s="1">
        <v>7</v>
      </c>
      <c r="E103" s="1">
        <v>6.75</v>
      </c>
      <c r="F103" s="1">
        <v>16.5</v>
      </c>
      <c r="G103" s="1">
        <v>2.5</v>
      </c>
      <c r="H103" s="1">
        <v>1.75</v>
      </c>
    </row>
    <row r="104" spans="4:8" x14ac:dyDescent="0.25">
      <c r="D104" s="1">
        <v>1.75</v>
      </c>
      <c r="E104" s="1">
        <v>6.5</v>
      </c>
      <c r="F104" s="1">
        <v>15</v>
      </c>
      <c r="G104" s="1">
        <v>5.5</v>
      </c>
      <c r="H104" s="1">
        <v>11</v>
      </c>
    </row>
    <row r="105" spans="4:8" x14ac:dyDescent="0.25">
      <c r="D105" s="1">
        <v>9.5</v>
      </c>
      <c r="E105" s="1">
        <v>6.5</v>
      </c>
      <c r="F105" s="1">
        <v>7</v>
      </c>
      <c r="G105" s="1">
        <v>13.5</v>
      </c>
      <c r="H105" s="1">
        <v>7</v>
      </c>
    </row>
    <row r="106" spans="4:8" x14ac:dyDescent="0.25">
      <c r="D106" s="1">
        <v>4</v>
      </c>
      <c r="E106" s="1">
        <v>2.5</v>
      </c>
      <c r="F106" s="1">
        <v>7</v>
      </c>
      <c r="G106" s="1">
        <v>14.25</v>
      </c>
      <c r="H106" s="1">
        <v>7</v>
      </c>
    </row>
    <row r="107" spans="4:8" x14ac:dyDescent="0.25">
      <c r="D107" s="1">
        <v>9.5</v>
      </c>
      <c r="E107" s="1">
        <v>10.5</v>
      </c>
      <c r="F107" s="1">
        <v>14</v>
      </c>
      <c r="G107" s="1">
        <v>11</v>
      </c>
      <c r="H107" s="1">
        <v>4.5</v>
      </c>
    </row>
    <row r="108" spans="4:8" x14ac:dyDescent="0.25">
      <c r="D108" s="1">
        <v>2</v>
      </c>
      <c r="E108" s="1">
        <v>4</v>
      </c>
      <c r="F108" s="1">
        <v>17</v>
      </c>
      <c r="G108" s="1">
        <v>11</v>
      </c>
      <c r="H108" s="1">
        <v>9</v>
      </c>
    </row>
    <row r="109" spans="4:8" x14ac:dyDescent="0.25">
      <c r="D109" s="1">
        <v>4</v>
      </c>
      <c r="E109" s="1">
        <v>4</v>
      </c>
      <c r="F109" s="1">
        <v>3</v>
      </c>
      <c r="G109" s="1">
        <v>11</v>
      </c>
      <c r="H109" s="1">
        <v>2.5</v>
      </c>
    </row>
    <row r="110" spans="4:8" x14ac:dyDescent="0.25">
      <c r="D110" s="1">
        <v>2</v>
      </c>
      <c r="E110" s="1">
        <v>6.5</v>
      </c>
      <c r="F110" s="1">
        <v>14</v>
      </c>
      <c r="G110" s="1">
        <v>11</v>
      </c>
      <c r="H110" s="1">
        <v>9</v>
      </c>
    </row>
    <row r="111" spans="4:8" x14ac:dyDescent="0.25">
      <c r="D111" s="1">
        <v>3</v>
      </c>
      <c r="E111" s="1">
        <v>6.5</v>
      </c>
      <c r="F111" s="1">
        <v>3</v>
      </c>
      <c r="G111" s="1">
        <v>5</v>
      </c>
      <c r="H111" s="1">
        <v>1.75</v>
      </c>
    </row>
    <row r="112" spans="4:8" x14ac:dyDescent="0.25">
      <c r="D112" s="1">
        <v>7</v>
      </c>
      <c r="E112" s="1">
        <v>9</v>
      </c>
      <c r="F112" s="1">
        <v>10.5</v>
      </c>
      <c r="G112" s="1">
        <v>13.5</v>
      </c>
      <c r="H112" s="1">
        <v>10.5</v>
      </c>
    </row>
    <row r="113" spans="4:8" x14ac:dyDescent="0.25">
      <c r="D113" s="1">
        <v>7</v>
      </c>
      <c r="E113" s="1">
        <v>9</v>
      </c>
      <c r="F113" s="1">
        <v>7</v>
      </c>
      <c r="G113" s="1">
        <v>8.25</v>
      </c>
      <c r="H113" s="1">
        <v>7</v>
      </c>
    </row>
    <row r="114" spans="4:8" x14ac:dyDescent="0.25">
      <c r="D114" s="1">
        <v>1.5</v>
      </c>
      <c r="E114" s="1">
        <v>11.5</v>
      </c>
      <c r="F114" s="1">
        <v>3.5</v>
      </c>
      <c r="G114" s="1">
        <v>14.25</v>
      </c>
      <c r="H114" s="1">
        <v>9</v>
      </c>
    </row>
    <row r="115" spans="4:8" x14ac:dyDescent="0.25">
      <c r="D115" s="1">
        <v>1.5</v>
      </c>
      <c r="E115" s="1">
        <v>10.5</v>
      </c>
      <c r="F115" s="1">
        <v>3</v>
      </c>
      <c r="G115" s="1">
        <v>2.75</v>
      </c>
      <c r="H115" s="1">
        <v>6.5</v>
      </c>
    </row>
    <row r="116" spans="4:8" x14ac:dyDescent="0.25">
      <c r="D116" s="1">
        <v>5</v>
      </c>
      <c r="E116" s="1">
        <v>2.5</v>
      </c>
      <c r="F116" s="1">
        <v>18.75</v>
      </c>
      <c r="G116" s="1">
        <v>3.25</v>
      </c>
      <c r="H116" s="1">
        <v>4</v>
      </c>
    </row>
    <row r="117" spans="4:8" x14ac:dyDescent="0.25">
      <c r="D117" s="1">
        <v>4</v>
      </c>
      <c r="E117" s="1">
        <v>9</v>
      </c>
      <c r="F117" s="1">
        <v>17</v>
      </c>
      <c r="G117" s="1">
        <v>5.5</v>
      </c>
      <c r="H117" s="1">
        <v>4</v>
      </c>
    </row>
    <row r="118" spans="4:8" x14ac:dyDescent="0.25">
      <c r="D118" s="1">
        <v>9.75</v>
      </c>
      <c r="E118" s="1">
        <v>2.5</v>
      </c>
      <c r="F118" s="1">
        <v>10</v>
      </c>
      <c r="G118" s="1">
        <v>8.25</v>
      </c>
      <c r="H118" s="1">
        <v>7</v>
      </c>
    </row>
    <row r="119" spans="4:8" x14ac:dyDescent="0.25">
      <c r="D119" s="1">
        <v>10</v>
      </c>
      <c r="E119" s="1">
        <v>6.5</v>
      </c>
      <c r="F119" s="1">
        <v>3</v>
      </c>
      <c r="G119" s="1">
        <v>11</v>
      </c>
      <c r="H119" s="1">
        <v>7</v>
      </c>
    </row>
    <row r="120" spans="4:8" x14ac:dyDescent="0.25">
      <c r="D120" s="1">
        <v>8</v>
      </c>
      <c r="E120" s="1">
        <v>9</v>
      </c>
      <c r="F120" s="1">
        <v>10.5</v>
      </c>
      <c r="G120" s="1">
        <v>5</v>
      </c>
      <c r="H120" s="1">
        <v>4.5</v>
      </c>
    </row>
    <row r="121" spans="4:8" x14ac:dyDescent="0.25">
      <c r="D121" s="1">
        <v>1.75</v>
      </c>
      <c r="E121" s="1">
        <v>4</v>
      </c>
      <c r="F121" s="1">
        <v>3</v>
      </c>
      <c r="G121" s="1">
        <v>8.25</v>
      </c>
      <c r="H121" s="1">
        <v>9</v>
      </c>
    </row>
    <row r="122" spans="4:8" x14ac:dyDescent="0.25">
      <c r="D122" s="1">
        <v>5.25</v>
      </c>
      <c r="E122" s="1">
        <v>9</v>
      </c>
      <c r="F122" s="1">
        <v>11.25</v>
      </c>
      <c r="G122" s="1">
        <v>11</v>
      </c>
      <c r="H122" s="1">
        <v>6.25</v>
      </c>
    </row>
    <row r="123" spans="4:8" x14ac:dyDescent="0.25">
      <c r="D123" s="1">
        <v>7</v>
      </c>
      <c r="E123" s="1">
        <v>9</v>
      </c>
      <c r="F123" s="1">
        <v>7</v>
      </c>
      <c r="G123" s="1">
        <v>11</v>
      </c>
      <c r="H123" s="1">
        <v>1.75</v>
      </c>
    </row>
    <row r="124" spans="4:8" x14ac:dyDescent="0.25">
      <c r="D124" s="1">
        <v>1.75</v>
      </c>
      <c r="E124" s="1">
        <v>9</v>
      </c>
      <c r="F124" s="1">
        <v>7</v>
      </c>
      <c r="G124" s="1">
        <v>2.5</v>
      </c>
      <c r="H124" s="1">
        <v>11</v>
      </c>
    </row>
    <row r="125" spans="4:8" x14ac:dyDescent="0.25">
      <c r="D125" s="1">
        <v>9.5</v>
      </c>
      <c r="E125" s="1">
        <v>9</v>
      </c>
      <c r="F125" s="1">
        <v>16.5</v>
      </c>
      <c r="G125" s="1">
        <v>2.5</v>
      </c>
      <c r="H125" s="1">
        <v>4</v>
      </c>
    </row>
    <row r="126" spans="4:8" x14ac:dyDescent="0.25">
      <c r="D126" s="1">
        <v>7</v>
      </c>
      <c r="E126" s="1">
        <v>4</v>
      </c>
      <c r="F126" s="1">
        <v>7</v>
      </c>
      <c r="G126" s="1">
        <v>11</v>
      </c>
      <c r="H126" s="1">
        <v>2</v>
      </c>
    </row>
    <row r="127" spans="4:8" x14ac:dyDescent="0.25">
      <c r="D127" s="1">
        <v>4</v>
      </c>
      <c r="E127" s="1">
        <v>4</v>
      </c>
      <c r="F127" s="1">
        <v>17</v>
      </c>
      <c r="G127" s="1">
        <v>11</v>
      </c>
      <c r="H127" s="1">
        <v>7</v>
      </c>
    </row>
    <row r="128" spans="4:8" x14ac:dyDescent="0.25">
      <c r="D128" s="1">
        <v>4</v>
      </c>
      <c r="E128" s="1">
        <v>11.25</v>
      </c>
      <c r="F128" s="1">
        <v>13</v>
      </c>
      <c r="G128" s="1">
        <v>2.75</v>
      </c>
      <c r="H128" s="1">
        <v>6.25</v>
      </c>
    </row>
    <row r="129" spans="4:8" x14ac:dyDescent="0.25">
      <c r="D129" s="1">
        <v>2</v>
      </c>
      <c r="E129" s="1">
        <v>9</v>
      </c>
      <c r="F129" s="1">
        <v>7</v>
      </c>
      <c r="G129" s="1">
        <v>5</v>
      </c>
      <c r="H129" s="1">
        <v>2</v>
      </c>
    </row>
    <row r="130" spans="4:8" x14ac:dyDescent="0.25">
      <c r="D130" s="1">
        <v>1.5</v>
      </c>
      <c r="E130" s="1">
        <v>2.5</v>
      </c>
      <c r="F130" s="1">
        <v>3.5</v>
      </c>
      <c r="G130" s="1">
        <v>2.75</v>
      </c>
      <c r="H130" s="1">
        <v>2</v>
      </c>
    </row>
    <row r="131" spans="4:8" x14ac:dyDescent="0.25">
      <c r="D131" s="1">
        <v>2</v>
      </c>
      <c r="E131" s="1">
        <v>9</v>
      </c>
      <c r="F131" s="1">
        <v>3</v>
      </c>
      <c r="G131" s="1">
        <v>5.5</v>
      </c>
      <c r="H131" s="1">
        <v>10.5</v>
      </c>
    </row>
    <row r="132" spans="4:8" x14ac:dyDescent="0.25">
      <c r="D132" s="1">
        <v>8</v>
      </c>
      <c r="E132" s="1">
        <v>2.5</v>
      </c>
      <c r="F132" s="1">
        <v>13</v>
      </c>
      <c r="G132" s="1">
        <v>14.25</v>
      </c>
      <c r="H132" s="1">
        <v>9</v>
      </c>
    </row>
    <row r="133" spans="4:8" x14ac:dyDescent="0.25">
      <c r="D133" s="1">
        <v>6</v>
      </c>
      <c r="E133" s="1">
        <v>4</v>
      </c>
      <c r="F133" s="1">
        <v>16.5</v>
      </c>
      <c r="G133" s="1">
        <v>13.5</v>
      </c>
      <c r="H133" s="1">
        <v>7</v>
      </c>
    </row>
    <row r="134" spans="4:8" x14ac:dyDescent="0.25">
      <c r="D134" s="1">
        <v>1.5</v>
      </c>
      <c r="E134" s="1">
        <v>2.25</v>
      </c>
      <c r="F134" s="1">
        <v>3</v>
      </c>
      <c r="G134" s="1">
        <v>7.5</v>
      </c>
      <c r="H134" s="1">
        <v>10.75</v>
      </c>
    </row>
    <row r="135" spans="4:8" x14ac:dyDescent="0.25">
      <c r="D135" s="1">
        <v>3</v>
      </c>
      <c r="E135" s="1">
        <v>9</v>
      </c>
      <c r="F135" s="1">
        <v>17</v>
      </c>
      <c r="G135" s="1">
        <v>8.25</v>
      </c>
      <c r="H135" s="1">
        <v>6.5</v>
      </c>
    </row>
    <row r="136" spans="4:8" x14ac:dyDescent="0.25">
      <c r="D136" s="1">
        <v>4</v>
      </c>
      <c r="E136" s="1">
        <v>2.25</v>
      </c>
      <c r="F136" s="1">
        <v>7</v>
      </c>
      <c r="G136" s="1">
        <v>5.5</v>
      </c>
      <c r="H136" s="1">
        <v>2.5</v>
      </c>
    </row>
    <row r="137" spans="4:8" x14ac:dyDescent="0.25">
      <c r="D137" s="1">
        <v>6</v>
      </c>
      <c r="E137" s="1">
        <v>9</v>
      </c>
      <c r="F137" s="1">
        <v>13</v>
      </c>
      <c r="G137" s="1">
        <v>5.5</v>
      </c>
      <c r="H137" s="1">
        <v>1.75</v>
      </c>
    </row>
    <row r="138" spans="4:8" x14ac:dyDescent="0.25">
      <c r="D138" s="1">
        <v>4</v>
      </c>
      <c r="E138" s="1">
        <v>10.75</v>
      </c>
      <c r="F138" s="1">
        <v>7</v>
      </c>
      <c r="G138" s="1">
        <v>2.75</v>
      </c>
      <c r="H138" s="1">
        <v>10.75</v>
      </c>
    </row>
    <row r="139" spans="4:8" x14ac:dyDescent="0.25">
      <c r="D139" s="1">
        <v>1.75</v>
      </c>
      <c r="E139" s="1">
        <v>4.5</v>
      </c>
      <c r="F139" s="1">
        <v>3</v>
      </c>
      <c r="G139" s="1">
        <v>2.75</v>
      </c>
      <c r="H139" s="1">
        <v>6.25</v>
      </c>
    </row>
    <row r="140" spans="4:8" x14ac:dyDescent="0.25">
      <c r="D140" s="1">
        <v>6</v>
      </c>
      <c r="E140" s="1">
        <v>4</v>
      </c>
      <c r="F140" s="1">
        <v>7</v>
      </c>
      <c r="G140" s="1">
        <v>11</v>
      </c>
      <c r="H140" s="1">
        <v>11.25</v>
      </c>
    </row>
    <row r="141" spans="4:8" x14ac:dyDescent="0.25">
      <c r="D141" s="1">
        <v>8</v>
      </c>
      <c r="E141" s="1">
        <v>6.5</v>
      </c>
      <c r="F141" s="1">
        <v>7</v>
      </c>
      <c r="G141" s="1">
        <v>11</v>
      </c>
      <c r="H141" s="1">
        <v>9</v>
      </c>
    </row>
    <row r="142" spans="4:8" x14ac:dyDescent="0.25">
      <c r="D142" s="1">
        <v>1.5</v>
      </c>
      <c r="E142" s="1">
        <v>4</v>
      </c>
      <c r="F142" s="1">
        <v>3.75</v>
      </c>
      <c r="G142" s="1">
        <v>5</v>
      </c>
      <c r="H142" s="1">
        <v>9</v>
      </c>
    </row>
    <row r="143" spans="4:8" x14ac:dyDescent="0.25">
      <c r="D143" s="1">
        <v>5</v>
      </c>
      <c r="E143" s="1">
        <v>4</v>
      </c>
      <c r="F143" s="1">
        <v>7</v>
      </c>
      <c r="G143" s="1">
        <v>11</v>
      </c>
      <c r="H143" s="1">
        <v>6.5</v>
      </c>
    </row>
    <row r="144" spans="4:8" x14ac:dyDescent="0.25">
      <c r="D144" s="1">
        <v>8</v>
      </c>
      <c r="E144" s="1">
        <v>9</v>
      </c>
      <c r="F144" s="1">
        <v>7.5</v>
      </c>
      <c r="G144" s="1">
        <v>5</v>
      </c>
      <c r="H144" s="1">
        <v>9</v>
      </c>
    </row>
    <row r="145" spans="4:8" x14ac:dyDescent="0.25">
      <c r="D145" s="1">
        <v>5.25</v>
      </c>
      <c r="E145" s="1">
        <v>6.5</v>
      </c>
      <c r="F145" s="1">
        <v>7</v>
      </c>
      <c r="G145" s="1">
        <v>8.5</v>
      </c>
      <c r="H145" s="1">
        <v>2.5</v>
      </c>
    </row>
    <row r="146" spans="4:8" x14ac:dyDescent="0.25">
      <c r="D146" s="1">
        <v>1.5</v>
      </c>
      <c r="E146" s="1">
        <v>6.5</v>
      </c>
      <c r="F146" s="1">
        <v>10</v>
      </c>
      <c r="G146" s="1">
        <v>2.75</v>
      </c>
      <c r="H146" s="1">
        <v>2.25</v>
      </c>
    </row>
    <row r="147" spans="4:8" x14ac:dyDescent="0.25">
      <c r="D147" s="1">
        <v>4</v>
      </c>
      <c r="E147" s="1">
        <v>11.25</v>
      </c>
      <c r="F147" s="1">
        <v>7</v>
      </c>
      <c r="G147" s="1">
        <v>5</v>
      </c>
      <c r="H147" s="1">
        <v>7</v>
      </c>
    </row>
    <row r="148" spans="4:8" x14ac:dyDescent="0.25">
      <c r="D148" s="1">
        <v>8</v>
      </c>
      <c r="E148" s="1">
        <v>11.25</v>
      </c>
      <c r="F148" s="1">
        <v>14</v>
      </c>
      <c r="G148" s="1">
        <v>2.75</v>
      </c>
      <c r="H148" s="1">
        <v>6.75</v>
      </c>
    </row>
    <row r="149" spans="4:8" x14ac:dyDescent="0.25">
      <c r="D149" s="1">
        <v>10</v>
      </c>
      <c r="E149" s="1">
        <v>2.5</v>
      </c>
      <c r="F149" s="1">
        <v>10</v>
      </c>
      <c r="G149" s="1">
        <v>13.5</v>
      </c>
      <c r="H149" s="1">
        <v>4.5</v>
      </c>
    </row>
    <row r="150" spans="4:8" x14ac:dyDescent="0.25">
      <c r="D150" s="1">
        <v>2</v>
      </c>
      <c r="E150" s="1">
        <v>10.5</v>
      </c>
      <c r="F150" s="1">
        <v>14</v>
      </c>
      <c r="G150" s="1">
        <v>5</v>
      </c>
      <c r="H150" s="1">
        <v>11.25</v>
      </c>
    </row>
    <row r="151" spans="4:8" x14ac:dyDescent="0.25">
      <c r="D151" s="1">
        <v>2</v>
      </c>
      <c r="E151" s="1">
        <v>4</v>
      </c>
      <c r="F151" s="1">
        <v>7</v>
      </c>
      <c r="G151" s="1">
        <v>13.5</v>
      </c>
      <c r="H151" s="1">
        <v>1.75</v>
      </c>
    </row>
    <row r="152" spans="4:8" x14ac:dyDescent="0.25">
      <c r="D152" s="1">
        <v>4</v>
      </c>
      <c r="E152" s="1">
        <v>2.5</v>
      </c>
      <c r="F152" s="1">
        <v>10.5</v>
      </c>
      <c r="G152" s="1">
        <v>2.5</v>
      </c>
      <c r="H152" s="1">
        <v>10.75</v>
      </c>
    </row>
    <row r="153" spans="4:8" x14ac:dyDescent="0.25">
      <c r="D153" s="1">
        <v>5</v>
      </c>
      <c r="E153" s="1">
        <v>6.25</v>
      </c>
      <c r="F153" s="1">
        <v>17</v>
      </c>
      <c r="G153" s="1">
        <v>14.25</v>
      </c>
      <c r="H153" s="1">
        <v>2.25</v>
      </c>
    </row>
    <row r="154" spans="4:8" x14ac:dyDescent="0.25">
      <c r="D154" s="1">
        <v>7</v>
      </c>
      <c r="E154" s="1">
        <v>4.5</v>
      </c>
      <c r="F154" s="1">
        <v>10.5</v>
      </c>
      <c r="G154" s="1">
        <v>5.5</v>
      </c>
      <c r="H154" s="1">
        <v>2.25</v>
      </c>
    </row>
    <row r="155" spans="4:8" x14ac:dyDescent="0.25">
      <c r="D155" s="1">
        <v>8</v>
      </c>
      <c r="E155" s="1">
        <v>11.25</v>
      </c>
      <c r="F155" s="1">
        <v>7</v>
      </c>
      <c r="G155" s="1">
        <v>14.75</v>
      </c>
      <c r="H155" s="1">
        <v>4.5</v>
      </c>
    </row>
    <row r="156" spans="4:8" x14ac:dyDescent="0.25">
      <c r="D156" s="1">
        <v>3</v>
      </c>
      <c r="E156" s="1">
        <v>9</v>
      </c>
      <c r="F156" s="1">
        <v>7</v>
      </c>
      <c r="G156" s="1">
        <v>5.5</v>
      </c>
      <c r="H156" s="1">
        <v>7</v>
      </c>
    </row>
    <row r="157" spans="4:8" x14ac:dyDescent="0.25">
      <c r="D157" s="1">
        <v>3</v>
      </c>
      <c r="E157" s="1">
        <v>9</v>
      </c>
      <c r="F157" s="1">
        <v>14</v>
      </c>
      <c r="G157" s="1">
        <v>13.5</v>
      </c>
      <c r="H157" s="1">
        <v>4</v>
      </c>
    </row>
    <row r="158" spans="4:8" x14ac:dyDescent="0.25">
      <c r="D158" s="1">
        <v>3</v>
      </c>
      <c r="E158" s="1">
        <v>2.5</v>
      </c>
      <c r="F158" s="1">
        <v>18.75</v>
      </c>
      <c r="G158" s="1">
        <v>5</v>
      </c>
      <c r="H158" s="1">
        <v>1.75</v>
      </c>
    </row>
    <row r="159" spans="4:8" x14ac:dyDescent="0.25">
      <c r="D159" s="1">
        <v>8</v>
      </c>
      <c r="E159" s="1">
        <v>9</v>
      </c>
      <c r="F159" s="1">
        <v>16.5</v>
      </c>
      <c r="G159" s="1">
        <v>2.75</v>
      </c>
      <c r="H159" s="1">
        <v>6.25</v>
      </c>
    </row>
    <row r="160" spans="4:8" x14ac:dyDescent="0.25">
      <c r="D160" s="1">
        <v>4</v>
      </c>
      <c r="E160" s="1">
        <v>9</v>
      </c>
      <c r="F160" s="1">
        <v>7</v>
      </c>
      <c r="G160" s="1">
        <v>8.75</v>
      </c>
      <c r="H160" s="1">
        <v>4</v>
      </c>
    </row>
    <row r="161" spans="4:8" x14ac:dyDescent="0.25">
      <c r="D161" s="1">
        <v>6</v>
      </c>
      <c r="E161" s="1">
        <v>11.25</v>
      </c>
      <c r="F161" s="1">
        <v>7</v>
      </c>
      <c r="G161" s="1">
        <v>3.25</v>
      </c>
      <c r="H161" s="1">
        <v>1.75</v>
      </c>
    </row>
    <row r="162" spans="4:8" x14ac:dyDescent="0.25">
      <c r="D162" s="1">
        <v>1.75</v>
      </c>
      <c r="E162" s="1">
        <v>6.75</v>
      </c>
      <c r="F162" s="1">
        <v>14</v>
      </c>
      <c r="G162" s="1">
        <v>11</v>
      </c>
      <c r="H162" s="1">
        <v>6.75</v>
      </c>
    </row>
    <row r="163" spans="4:8" x14ac:dyDescent="0.25">
      <c r="D163" s="1">
        <v>3</v>
      </c>
      <c r="E163" s="1">
        <v>2.25</v>
      </c>
      <c r="F163" s="1">
        <v>16.5</v>
      </c>
      <c r="G163" s="1">
        <v>13.5</v>
      </c>
      <c r="H163" s="1">
        <v>1.75</v>
      </c>
    </row>
    <row r="164" spans="4:8" x14ac:dyDescent="0.25">
      <c r="D164" s="1">
        <v>7</v>
      </c>
      <c r="E164" s="1">
        <v>6.5</v>
      </c>
      <c r="F164" s="1">
        <v>3</v>
      </c>
      <c r="G164" s="1">
        <v>14.75</v>
      </c>
      <c r="H164" s="1">
        <v>11</v>
      </c>
    </row>
    <row r="165" spans="4:8" x14ac:dyDescent="0.25">
      <c r="D165" s="1">
        <v>9.75</v>
      </c>
      <c r="E165" s="1">
        <v>4.5</v>
      </c>
      <c r="F165" s="1">
        <v>13</v>
      </c>
      <c r="G165" s="1">
        <v>3.25</v>
      </c>
      <c r="H165" s="1">
        <v>6.5</v>
      </c>
    </row>
    <row r="166" spans="4:8" x14ac:dyDescent="0.25">
      <c r="D166" s="1">
        <v>1.5</v>
      </c>
      <c r="E166" s="1">
        <v>6.75</v>
      </c>
      <c r="F166" s="1">
        <v>10</v>
      </c>
      <c r="G166" s="1">
        <v>7.5</v>
      </c>
      <c r="H166" s="1">
        <v>4.5</v>
      </c>
    </row>
    <row r="167" spans="4:8" x14ac:dyDescent="0.25">
      <c r="D167" s="1">
        <v>5.25</v>
      </c>
      <c r="E167" s="1">
        <v>4.5</v>
      </c>
      <c r="F167" s="1">
        <v>10.5</v>
      </c>
      <c r="G167" s="1">
        <v>11</v>
      </c>
      <c r="H167" s="1">
        <v>9</v>
      </c>
    </row>
    <row r="168" spans="4:8" x14ac:dyDescent="0.25">
      <c r="D168" s="1">
        <v>7</v>
      </c>
      <c r="E168" s="1">
        <v>2.25</v>
      </c>
      <c r="F168" s="1">
        <v>3.5</v>
      </c>
      <c r="G168" s="1">
        <v>14.75</v>
      </c>
      <c r="H168" s="1">
        <v>7</v>
      </c>
    </row>
    <row r="169" spans="4:8" x14ac:dyDescent="0.25">
      <c r="D169" s="1">
        <v>3.5</v>
      </c>
      <c r="E169" s="1">
        <v>9</v>
      </c>
      <c r="F169" s="1">
        <v>14</v>
      </c>
      <c r="G169" s="1">
        <v>11</v>
      </c>
      <c r="H169" s="1">
        <v>9</v>
      </c>
    </row>
    <row r="170" spans="4:8" x14ac:dyDescent="0.25">
      <c r="D170" s="1">
        <v>4</v>
      </c>
      <c r="E170" s="1">
        <v>10.75</v>
      </c>
      <c r="F170" s="1">
        <v>17</v>
      </c>
      <c r="G170" s="1">
        <v>11</v>
      </c>
      <c r="H170" s="1">
        <v>10.75</v>
      </c>
    </row>
    <row r="171" spans="4:8" x14ac:dyDescent="0.25">
      <c r="D171" s="1">
        <v>4</v>
      </c>
      <c r="E171" s="1">
        <v>11.25</v>
      </c>
      <c r="F171" s="1">
        <v>7</v>
      </c>
      <c r="G171" s="1">
        <v>2.5</v>
      </c>
      <c r="H171" s="1">
        <v>9</v>
      </c>
    </row>
    <row r="172" spans="4:8" x14ac:dyDescent="0.25">
      <c r="D172" s="1">
        <v>9.5</v>
      </c>
      <c r="E172" s="1">
        <v>2.25</v>
      </c>
      <c r="F172" s="1">
        <v>7</v>
      </c>
      <c r="G172" s="1">
        <v>5.5</v>
      </c>
      <c r="H172" s="1">
        <v>4.5</v>
      </c>
    </row>
    <row r="173" spans="4:8" x14ac:dyDescent="0.25">
      <c r="D173" s="1">
        <v>2</v>
      </c>
      <c r="E173" s="1">
        <v>10.5</v>
      </c>
      <c r="F173" s="1">
        <v>3.75</v>
      </c>
      <c r="G173" s="1">
        <v>2.5</v>
      </c>
      <c r="H173" s="1">
        <v>2.25</v>
      </c>
    </row>
    <row r="174" spans="4:8" x14ac:dyDescent="0.25">
      <c r="D174" s="1">
        <v>9.75</v>
      </c>
      <c r="E174" s="1">
        <v>9</v>
      </c>
      <c r="F174" s="1">
        <v>3</v>
      </c>
      <c r="G174" s="1">
        <v>11</v>
      </c>
      <c r="H174" s="1">
        <v>6.75</v>
      </c>
    </row>
    <row r="175" spans="4:8" x14ac:dyDescent="0.25">
      <c r="D175" s="1">
        <v>3</v>
      </c>
      <c r="E175" s="1">
        <v>11.25</v>
      </c>
      <c r="F175" s="1">
        <v>3.5</v>
      </c>
      <c r="G175" s="1">
        <v>2.5</v>
      </c>
      <c r="H175" s="1">
        <v>6.75</v>
      </c>
    </row>
    <row r="176" spans="4:8" x14ac:dyDescent="0.25">
      <c r="D176" s="1">
        <v>5.5</v>
      </c>
      <c r="E176" s="1">
        <v>6.75</v>
      </c>
      <c r="F176" s="1">
        <v>13</v>
      </c>
      <c r="G176" s="1">
        <v>8.25</v>
      </c>
      <c r="H176" s="1">
        <v>7</v>
      </c>
    </row>
    <row r="177" spans="4:8" x14ac:dyDescent="0.25">
      <c r="D177" s="1">
        <v>8</v>
      </c>
      <c r="E177" s="1">
        <v>4.5</v>
      </c>
      <c r="F177" s="1">
        <v>13</v>
      </c>
      <c r="G177" s="1">
        <v>11</v>
      </c>
      <c r="H177" s="1">
        <v>9</v>
      </c>
    </row>
    <row r="178" spans="4:8" x14ac:dyDescent="0.25">
      <c r="D178" s="1">
        <v>1.75</v>
      </c>
      <c r="E178" s="1">
        <v>6.25</v>
      </c>
      <c r="F178" s="1">
        <v>10</v>
      </c>
      <c r="G178" s="1">
        <v>5</v>
      </c>
      <c r="H178" s="1">
        <v>4</v>
      </c>
    </row>
    <row r="179" spans="4:8" x14ac:dyDescent="0.25">
      <c r="D179" s="1">
        <v>6</v>
      </c>
      <c r="E179" s="1">
        <v>11.25</v>
      </c>
      <c r="F179" s="1">
        <v>16.5</v>
      </c>
      <c r="G179" s="1">
        <v>13.5</v>
      </c>
      <c r="H179" s="1">
        <v>4.5</v>
      </c>
    </row>
    <row r="180" spans="4:8" x14ac:dyDescent="0.25">
      <c r="D180" s="1">
        <v>6</v>
      </c>
      <c r="E180" s="1">
        <v>11.25</v>
      </c>
      <c r="F180" s="1">
        <v>17</v>
      </c>
      <c r="G180" s="1">
        <v>2.5</v>
      </c>
      <c r="H180" s="1">
        <v>11.25</v>
      </c>
    </row>
    <row r="181" spans="4:8" x14ac:dyDescent="0.25">
      <c r="D181" s="1">
        <v>3.5</v>
      </c>
      <c r="E181" s="1">
        <v>10.5</v>
      </c>
      <c r="F181" s="1">
        <v>7</v>
      </c>
      <c r="G181" s="1">
        <v>14.75</v>
      </c>
      <c r="H181" s="1">
        <v>9</v>
      </c>
    </row>
    <row r="182" spans="4:8" x14ac:dyDescent="0.25">
      <c r="D182" s="1">
        <v>3.5</v>
      </c>
      <c r="E182" s="1">
        <v>4.5</v>
      </c>
      <c r="F182" s="1">
        <v>3.5</v>
      </c>
      <c r="G182" s="1">
        <v>13.5</v>
      </c>
      <c r="H182" s="1">
        <v>11</v>
      </c>
    </row>
    <row r="183" spans="4:8" x14ac:dyDescent="0.25">
      <c r="D183" s="1">
        <v>1.5</v>
      </c>
      <c r="E183" s="1">
        <v>6.75</v>
      </c>
      <c r="F183" s="1">
        <v>18.75</v>
      </c>
      <c r="G183" s="1">
        <v>2.5</v>
      </c>
      <c r="H183" s="1">
        <v>9</v>
      </c>
    </row>
    <row r="184" spans="4:8" x14ac:dyDescent="0.25">
      <c r="D184" s="1">
        <v>5</v>
      </c>
      <c r="E184" s="1">
        <v>4</v>
      </c>
      <c r="F184" s="1">
        <v>3</v>
      </c>
      <c r="G184" s="1">
        <v>11</v>
      </c>
      <c r="H184" s="1">
        <v>9</v>
      </c>
    </row>
    <row r="185" spans="4:8" x14ac:dyDescent="0.25">
      <c r="D185" s="1">
        <v>4</v>
      </c>
      <c r="E185" s="1">
        <v>6.25</v>
      </c>
      <c r="F185" s="1">
        <v>7</v>
      </c>
      <c r="G185" s="1">
        <v>5.5</v>
      </c>
      <c r="H185" s="1">
        <v>10.5</v>
      </c>
    </row>
    <row r="186" spans="4:8" x14ac:dyDescent="0.25">
      <c r="D186" s="1">
        <v>9.5</v>
      </c>
      <c r="E186" s="1">
        <v>1.75</v>
      </c>
      <c r="F186" s="1">
        <v>17</v>
      </c>
      <c r="G186" s="1">
        <v>8.5</v>
      </c>
      <c r="H186" s="1">
        <v>6.5</v>
      </c>
    </row>
    <row r="187" spans="4:8" x14ac:dyDescent="0.25">
      <c r="D187" s="1">
        <v>6</v>
      </c>
      <c r="E187" s="1">
        <v>2.25</v>
      </c>
      <c r="F187" s="1">
        <v>10</v>
      </c>
      <c r="G187" s="1">
        <v>8.5</v>
      </c>
      <c r="H187" s="1">
        <v>9</v>
      </c>
    </row>
    <row r="188" spans="4:8" x14ac:dyDescent="0.25">
      <c r="D188" s="1">
        <v>3</v>
      </c>
      <c r="E188" s="1">
        <v>11.5</v>
      </c>
      <c r="F188" s="1">
        <v>3</v>
      </c>
      <c r="G188" s="1">
        <v>11</v>
      </c>
      <c r="H188" s="1">
        <v>4.5</v>
      </c>
    </row>
    <row r="189" spans="4:8" x14ac:dyDescent="0.25">
      <c r="D189" s="1">
        <v>4</v>
      </c>
      <c r="E189" s="1">
        <v>2.5</v>
      </c>
      <c r="F189" s="1">
        <v>7</v>
      </c>
      <c r="G189" s="1">
        <v>2.75</v>
      </c>
      <c r="H189" s="1">
        <v>9</v>
      </c>
    </row>
    <row r="190" spans="4:8" x14ac:dyDescent="0.25">
      <c r="D190" s="1">
        <v>9.75</v>
      </c>
      <c r="E190" s="1">
        <v>6.75</v>
      </c>
      <c r="F190" s="1">
        <v>17</v>
      </c>
      <c r="G190" s="1">
        <v>14.25</v>
      </c>
      <c r="H190" s="1">
        <v>2.25</v>
      </c>
    </row>
    <row r="191" spans="4:8" x14ac:dyDescent="0.25">
      <c r="D191" s="1">
        <v>9.5</v>
      </c>
      <c r="E191" s="1">
        <v>2.25</v>
      </c>
      <c r="F191" s="1">
        <v>16.5</v>
      </c>
      <c r="G191" s="1">
        <v>11</v>
      </c>
      <c r="H191" s="1">
        <v>7</v>
      </c>
    </row>
    <row r="192" spans="4:8" x14ac:dyDescent="0.25">
      <c r="D192" s="1">
        <v>3</v>
      </c>
      <c r="E192" s="1">
        <v>4</v>
      </c>
      <c r="F192" s="1">
        <v>10.5</v>
      </c>
      <c r="G192" s="1">
        <v>11</v>
      </c>
      <c r="H192" s="1">
        <v>4</v>
      </c>
    </row>
    <row r="193" spans="4:8" x14ac:dyDescent="0.25">
      <c r="D193" s="1">
        <v>4</v>
      </c>
      <c r="E193" s="1">
        <v>6.5</v>
      </c>
      <c r="F193" s="1">
        <v>16.5</v>
      </c>
      <c r="G193" s="1">
        <v>13.5</v>
      </c>
      <c r="H193" s="1">
        <v>10.5</v>
      </c>
    </row>
    <row r="194" spans="4:8" x14ac:dyDescent="0.25">
      <c r="D194" s="1">
        <v>3</v>
      </c>
      <c r="E194" s="1">
        <v>9</v>
      </c>
      <c r="F194" s="1">
        <v>14</v>
      </c>
      <c r="G194" s="1">
        <v>7.5</v>
      </c>
      <c r="H194" s="1">
        <v>6.5</v>
      </c>
    </row>
    <row r="195" spans="4:8" x14ac:dyDescent="0.25">
      <c r="D195" s="1">
        <v>7</v>
      </c>
      <c r="E195" s="1">
        <v>4</v>
      </c>
      <c r="F195" s="1">
        <v>7</v>
      </c>
      <c r="G195" s="1">
        <v>5</v>
      </c>
      <c r="H195" s="1">
        <v>6.5</v>
      </c>
    </row>
    <row r="196" spans="4:8" x14ac:dyDescent="0.25">
      <c r="D196" s="1">
        <v>5.25</v>
      </c>
      <c r="E196" s="1">
        <v>11.25</v>
      </c>
      <c r="F196" s="1">
        <v>17</v>
      </c>
      <c r="G196" s="1">
        <v>11</v>
      </c>
      <c r="H196" s="1">
        <v>4.5</v>
      </c>
    </row>
    <row r="197" spans="4:8" x14ac:dyDescent="0.25">
      <c r="D197" s="1">
        <v>6</v>
      </c>
      <c r="E197" s="1">
        <v>6.5</v>
      </c>
      <c r="F197" s="1">
        <v>3.75</v>
      </c>
      <c r="G197" s="1">
        <v>7.5</v>
      </c>
      <c r="H197" s="1">
        <v>9</v>
      </c>
    </row>
    <row r="198" spans="4:8" x14ac:dyDescent="0.25">
      <c r="D198" s="1">
        <v>5.25</v>
      </c>
      <c r="E198" s="1">
        <v>6.5</v>
      </c>
      <c r="F198" s="1">
        <v>10</v>
      </c>
      <c r="G198" s="1">
        <v>8.5</v>
      </c>
      <c r="H198" s="1">
        <v>9</v>
      </c>
    </row>
    <row r="199" spans="4:8" x14ac:dyDescent="0.25">
      <c r="D199" s="1">
        <v>6</v>
      </c>
      <c r="E199" s="1">
        <v>11.5</v>
      </c>
      <c r="F199" s="1">
        <v>17</v>
      </c>
      <c r="G199" s="1">
        <v>5</v>
      </c>
      <c r="H199" s="1">
        <v>2.25</v>
      </c>
    </row>
    <row r="200" spans="4:8" x14ac:dyDescent="0.25">
      <c r="D200" s="1">
        <v>8</v>
      </c>
      <c r="E200" s="1">
        <v>6.25</v>
      </c>
      <c r="F200" s="1">
        <v>7</v>
      </c>
      <c r="G200" s="1">
        <v>2.5</v>
      </c>
      <c r="H200" s="1">
        <v>1.75</v>
      </c>
    </row>
    <row r="201" spans="4:8" x14ac:dyDescent="0.25">
      <c r="D201" s="1">
        <v>2</v>
      </c>
      <c r="E201" s="1">
        <v>9</v>
      </c>
      <c r="F201" s="1">
        <v>11.25</v>
      </c>
      <c r="G201" s="1">
        <v>11</v>
      </c>
      <c r="H201" s="1">
        <v>7</v>
      </c>
    </row>
    <row r="202" spans="4:8" x14ac:dyDescent="0.25">
      <c r="D202" s="1">
        <v>3</v>
      </c>
      <c r="E202" s="1">
        <v>4</v>
      </c>
      <c r="F202" s="1">
        <v>11.25</v>
      </c>
      <c r="G202" s="1">
        <v>13.5</v>
      </c>
      <c r="H202" s="1">
        <v>6.25</v>
      </c>
    </row>
    <row r="203" spans="4:8" x14ac:dyDescent="0.25">
      <c r="D203" s="1">
        <v>5</v>
      </c>
      <c r="E203" s="1">
        <v>1.75</v>
      </c>
      <c r="F203" s="1">
        <v>17</v>
      </c>
      <c r="G203" s="1">
        <v>13.5</v>
      </c>
      <c r="H203" s="1">
        <v>2.5</v>
      </c>
    </row>
    <row r="204" spans="4:8" x14ac:dyDescent="0.25">
      <c r="D204" s="1">
        <v>6</v>
      </c>
      <c r="E204" s="1">
        <v>2.5</v>
      </c>
      <c r="F204" s="1">
        <v>7</v>
      </c>
      <c r="G204" s="1">
        <v>14.75</v>
      </c>
      <c r="H204" s="1">
        <v>6.5</v>
      </c>
    </row>
    <row r="205" spans="4:8" x14ac:dyDescent="0.25">
      <c r="D205" s="1">
        <v>2</v>
      </c>
      <c r="E205" s="1">
        <v>6.75</v>
      </c>
      <c r="F205" s="1">
        <v>3.75</v>
      </c>
      <c r="G205" s="1">
        <v>5</v>
      </c>
      <c r="H205" s="1">
        <v>6.75</v>
      </c>
    </row>
    <row r="206" spans="4:8" x14ac:dyDescent="0.25">
      <c r="D206" s="1">
        <v>5.25</v>
      </c>
      <c r="E206" s="1">
        <v>4</v>
      </c>
      <c r="F206" s="1">
        <v>3.75</v>
      </c>
      <c r="G206" s="1">
        <v>11</v>
      </c>
      <c r="H206" s="1">
        <v>4.5</v>
      </c>
    </row>
    <row r="207" spans="4:8" x14ac:dyDescent="0.25">
      <c r="D207" s="1">
        <v>8</v>
      </c>
      <c r="E207" s="1">
        <v>4.5</v>
      </c>
      <c r="F207" s="1">
        <v>7</v>
      </c>
      <c r="G207" s="1">
        <v>5.5</v>
      </c>
      <c r="H207" s="1">
        <v>1.75</v>
      </c>
    </row>
    <row r="208" spans="4:8" x14ac:dyDescent="0.25">
      <c r="D208" s="1">
        <v>6</v>
      </c>
      <c r="E208" s="1">
        <v>9</v>
      </c>
      <c r="F208" s="1">
        <v>7</v>
      </c>
      <c r="G208" s="1">
        <v>2.75</v>
      </c>
      <c r="H208" s="1">
        <v>6.25</v>
      </c>
    </row>
    <row r="209" spans="4:8" x14ac:dyDescent="0.25">
      <c r="D209" s="1">
        <v>3.5</v>
      </c>
      <c r="E209" s="1">
        <v>6.25</v>
      </c>
      <c r="F209" s="1">
        <v>10</v>
      </c>
      <c r="G209" s="1">
        <v>11</v>
      </c>
      <c r="H209" s="1">
        <v>10.75</v>
      </c>
    </row>
    <row r="210" spans="4:8" x14ac:dyDescent="0.25">
      <c r="D210" s="1">
        <v>8</v>
      </c>
      <c r="E210" s="1">
        <v>6.5</v>
      </c>
      <c r="F210" s="1">
        <v>14</v>
      </c>
      <c r="G210" s="1">
        <v>7.5</v>
      </c>
      <c r="H210" s="1">
        <v>4.5</v>
      </c>
    </row>
    <row r="211" spans="4:8" x14ac:dyDescent="0.25">
      <c r="D211" s="1">
        <v>4</v>
      </c>
      <c r="E211" s="1">
        <v>4.5</v>
      </c>
      <c r="F211" s="1">
        <v>13</v>
      </c>
      <c r="G211" s="1">
        <v>8.75</v>
      </c>
      <c r="H211" s="1">
        <v>4</v>
      </c>
    </row>
    <row r="212" spans="4:8" x14ac:dyDescent="0.25">
      <c r="D212" s="1">
        <v>9.5</v>
      </c>
      <c r="E212" s="1">
        <v>10.5</v>
      </c>
      <c r="F212" s="1">
        <v>7</v>
      </c>
      <c r="G212" s="1">
        <v>13.5</v>
      </c>
      <c r="H212" s="1">
        <v>4</v>
      </c>
    </row>
    <row r="213" spans="4:8" x14ac:dyDescent="0.25">
      <c r="D213" s="1">
        <v>1.75</v>
      </c>
      <c r="E213" s="1">
        <v>10.75</v>
      </c>
      <c r="F213" s="1">
        <v>3.75</v>
      </c>
      <c r="G213" s="1">
        <v>2.75</v>
      </c>
      <c r="H213" s="1">
        <v>11.25</v>
      </c>
    </row>
    <row r="214" spans="4:8" x14ac:dyDescent="0.25">
      <c r="D214" s="1">
        <v>8</v>
      </c>
      <c r="E214" s="1">
        <v>4.5</v>
      </c>
      <c r="F214" s="1">
        <v>10</v>
      </c>
      <c r="G214" s="1">
        <v>5</v>
      </c>
      <c r="H214" s="1">
        <v>6.5</v>
      </c>
    </row>
    <row r="215" spans="4:8" x14ac:dyDescent="0.25">
      <c r="D215" s="1">
        <v>5.5</v>
      </c>
      <c r="E215" s="1">
        <v>11.25</v>
      </c>
      <c r="F215" s="1">
        <v>14</v>
      </c>
      <c r="G215" s="1">
        <v>5</v>
      </c>
      <c r="H215" s="1">
        <v>2</v>
      </c>
    </row>
    <row r="216" spans="4:8" x14ac:dyDescent="0.25">
      <c r="D216" s="1">
        <v>9.5</v>
      </c>
      <c r="E216" s="1">
        <v>4</v>
      </c>
      <c r="F216" s="1">
        <v>18.75</v>
      </c>
      <c r="G216" s="1">
        <v>11</v>
      </c>
      <c r="H216" s="1">
        <v>9</v>
      </c>
    </row>
    <row r="217" spans="4:8" x14ac:dyDescent="0.25">
      <c r="D217" s="1">
        <v>5.5</v>
      </c>
      <c r="E217" s="1">
        <v>10.75</v>
      </c>
      <c r="F217" s="1">
        <v>10</v>
      </c>
      <c r="G217" s="1">
        <v>11</v>
      </c>
      <c r="H217" s="1">
        <v>11</v>
      </c>
    </row>
    <row r="218" spans="4:8" x14ac:dyDescent="0.25">
      <c r="D218" s="1">
        <v>5.5</v>
      </c>
      <c r="E218" s="1">
        <v>4.5</v>
      </c>
      <c r="F218" s="1">
        <v>10</v>
      </c>
      <c r="G218" s="1">
        <v>11</v>
      </c>
      <c r="H218" s="1">
        <v>9</v>
      </c>
    </row>
    <row r="219" spans="4:8" x14ac:dyDescent="0.25">
      <c r="D219" s="1">
        <v>3</v>
      </c>
      <c r="E219" s="1">
        <v>2.25</v>
      </c>
      <c r="F219" s="1">
        <v>16.5</v>
      </c>
      <c r="G219" s="1">
        <v>13.5</v>
      </c>
      <c r="H219" s="1">
        <v>11</v>
      </c>
    </row>
    <row r="220" spans="4:8" x14ac:dyDescent="0.25">
      <c r="D220" s="1">
        <v>5.25</v>
      </c>
      <c r="E220" s="1">
        <v>9</v>
      </c>
      <c r="F220" s="1">
        <v>3.5</v>
      </c>
      <c r="G220" s="1">
        <v>5.5</v>
      </c>
      <c r="H220" s="1">
        <v>11</v>
      </c>
    </row>
    <row r="221" spans="4:8" x14ac:dyDescent="0.25">
      <c r="D221" s="1">
        <v>2</v>
      </c>
      <c r="E221" s="1">
        <v>10.75</v>
      </c>
      <c r="F221" s="1">
        <v>3</v>
      </c>
      <c r="G221" s="1">
        <v>13.5</v>
      </c>
      <c r="H221" s="1">
        <v>4.5</v>
      </c>
    </row>
    <row r="222" spans="4:8" x14ac:dyDescent="0.25">
      <c r="D222" s="1">
        <v>2</v>
      </c>
      <c r="F222" s="1">
        <v>14</v>
      </c>
      <c r="G222" s="1">
        <v>2.75</v>
      </c>
      <c r="H222" s="1">
        <v>10.5</v>
      </c>
    </row>
    <row r="223" spans="4:8" x14ac:dyDescent="0.25">
      <c r="D223" s="1">
        <v>2</v>
      </c>
      <c r="F223" s="1">
        <v>17</v>
      </c>
      <c r="G223" s="1">
        <v>5</v>
      </c>
      <c r="H223" s="1">
        <v>11.25</v>
      </c>
    </row>
    <row r="224" spans="4:8" x14ac:dyDescent="0.25">
      <c r="D224" s="1">
        <v>9.5</v>
      </c>
      <c r="F224" s="1">
        <v>7</v>
      </c>
      <c r="G224" s="1">
        <v>8.75</v>
      </c>
      <c r="H224" s="1">
        <v>9</v>
      </c>
    </row>
    <row r="225" spans="4:8" x14ac:dyDescent="0.25">
      <c r="D225" s="1">
        <v>6</v>
      </c>
      <c r="F225" s="1">
        <v>7</v>
      </c>
      <c r="G225" s="1">
        <v>2.75</v>
      </c>
      <c r="H225" s="1">
        <v>10.75</v>
      </c>
    </row>
    <row r="226" spans="4:8" x14ac:dyDescent="0.25">
      <c r="D226" s="1">
        <v>6</v>
      </c>
      <c r="F226" s="1">
        <v>14</v>
      </c>
      <c r="G226" s="1">
        <v>2.5</v>
      </c>
      <c r="H226" s="1">
        <v>2.25</v>
      </c>
    </row>
    <row r="227" spans="4:8" x14ac:dyDescent="0.25">
      <c r="D227" s="1">
        <v>7</v>
      </c>
      <c r="F227" s="1">
        <v>17</v>
      </c>
      <c r="G227" s="1">
        <v>3.25</v>
      </c>
      <c r="H227" s="1">
        <v>11.25</v>
      </c>
    </row>
    <row r="228" spans="4:8" x14ac:dyDescent="0.25">
      <c r="D228" s="1">
        <v>5</v>
      </c>
      <c r="F228" s="1">
        <v>14</v>
      </c>
      <c r="G228" s="1">
        <v>2.75</v>
      </c>
      <c r="H228" s="1">
        <v>4</v>
      </c>
    </row>
    <row r="229" spans="4:8" x14ac:dyDescent="0.25">
      <c r="D229" s="1">
        <v>8</v>
      </c>
      <c r="F229" s="1">
        <v>3.75</v>
      </c>
      <c r="G229" s="1">
        <v>13.5</v>
      </c>
      <c r="H229" s="1">
        <v>4.5</v>
      </c>
    </row>
    <row r="230" spans="4:8" x14ac:dyDescent="0.25">
      <c r="D230" s="1">
        <v>5</v>
      </c>
      <c r="F230" s="1">
        <v>17</v>
      </c>
      <c r="G230" s="1">
        <v>14.75</v>
      </c>
      <c r="H230" s="1">
        <v>2</v>
      </c>
    </row>
    <row r="231" spans="4:8" x14ac:dyDescent="0.25">
      <c r="D231" s="1">
        <v>9.5</v>
      </c>
      <c r="F231" s="1">
        <v>14</v>
      </c>
      <c r="G231" s="1">
        <v>14.75</v>
      </c>
      <c r="H231" s="1">
        <v>6.5</v>
      </c>
    </row>
    <row r="232" spans="4:8" x14ac:dyDescent="0.25">
      <c r="D232" s="1">
        <v>2</v>
      </c>
      <c r="F232" s="1">
        <v>7</v>
      </c>
      <c r="G232" s="1">
        <v>5.5</v>
      </c>
      <c r="H232" s="1">
        <v>4</v>
      </c>
    </row>
    <row r="233" spans="4:8" x14ac:dyDescent="0.25">
      <c r="D233" s="1">
        <v>5.5</v>
      </c>
      <c r="F233" s="1">
        <v>3</v>
      </c>
      <c r="G233" s="1">
        <v>13.5</v>
      </c>
      <c r="H233" s="1">
        <v>9</v>
      </c>
    </row>
    <row r="234" spans="4:8" x14ac:dyDescent="0.25">
      <c r="D234" s="1">
        <v>5</v>
      </c>
      <c r="F234" s="1">
        <v>10</v>
      </c>
      <c r="G234" s="1">
        <v>11</v>
      </c>
      <c r="H234" s="1">
        <v>11</v>
      </c>
    </row>
    <row r="235" spans="4:8" x14ac:dyDescent="0.25">
      <c r="D235" s="1">
        <v>8</v>
      </c>
      <c r="F235" s="1">
        <v>3</v>
      </c>
      <c r="G235" s="1">
        <v>11</v>
      </c>
      <c r="H235" s="1">
        <v>2.5</v>
      </c>
    </row>
    <row r="236" spans="4:8" x14ac:dyDescent="0.25">
      <c r="D236" s="1">
        <v>7</v>
      </c>
      <c r="F236" s="1">
        <v>13</v>
      </c>
      <c r="G236" s="1">
        <v>7.5</v>
      </c>
      <c r="H236" s="1">
        <v>4</v>
      </c>
    </row>
    <row r="237" spans="4:8" x14ac:dyDescent="0.25">
      <c r="D237" s="1">
        <v>1.75</v>
      </c>
      <c r="F237" s="1">
        <v>7</v>
      </c>
      <c r="G237" s="1">
        <v>5</v>
      </c>
      <c r="H237" s="1">
        <v>9</v>
      </c>
    </row>
    <row r="238" spans="4:8" x14ac:dyDescent="0.25">
      <c r="D238" s="1">
        <v>3</v>
      </c>
      <c r="F238" s="1">
        <v>3.5</v>
      </c>
      <c r="G238" s="1">
        <v>14.75</v>
      </c>
      <c r="H238" s="1">
        <v>9</v>
      </c>
    </row>
    <row r="239" spans="4:8" x14ac:dyDescent="0.25">
      <c r="D239" s="1">
        <v>9.75</v>
      </c>
      <c r="F239" s="1">
        <v>3.5</v>
      </c>
      <c r="G239" s="1">
        <v>2.5</v>
      </c>
      <c r="H239" s="1">
        <v>9</v>
      </c>
    </row>
    <row r="240" spans="4:8" x14ac:dyDescent="0.25">
      <c r="D240" s="1">
        <v>9.5</v>
      </c>
      <c r="F240" s="1">
        <v>16.5</v>
      </c>
      <c r="G240" s="1">
        <v>7.5</v>
      </c>
      <c r="H240" s="1">
        <v>1.75</v>
      </c>
    </row>
    <row r="241" spans="4:8" x14ac:dyDescent="0.25">
      <c r="D241" s="1">
        <v>4</v>
      </c>
      <c r="F241" s="1">
        <v>17</v>
      </c>
      <c r="G241" s="1">
        <v>11</v>
      </c>
      <c r="H241" s="1">
        <v>4.5</v>
      </c>
    </row>
    <row r="242" spans="4:8" x14ac:dyDescent="0.25">
      <c r="D242" s="1">
        <v>5</v>
      </c>
      <c r="F242" s="1">
        <v>3</v>
      </c>
      <c r="H242" s="1">
        <v>9</v>
      </c>
    </row>
    <row r="243" spans="4:8" x14ac:dyDescent="0.25">
      <c r="D243" s="1">
        <v>9.75</v>
      </c>
      <c r="F243" s="1">
        <v>7</v>
      </c>
      <c r="H243" s="1">
        <v>9</v>
      </c>
    </row>
    <row r="244" spans="4:8" x14ac:dyDescent="0.25">
      <c r="D244" s="1">
        <v>5.5</v>
      </c>
      <c r="F244" s="1">
        <v>3</v>
      </c>
      <c r="H244" s="1">
        <v>2.25</v>
      </c>
    </row>
    <row r="245" spans="4:8" x14ac:dyDescent="0.25">
      <c r="D245" s="1">
        <v>6</v>
      </c>
      <c r="F245" s="1">
        <v>16.5</v>
      </c>
      <c r="H245" s="1">
        <v>2</v>
      </c>
    </row>
    <row r="246" spans="4:8" x14ac:dyDescent="0.25">
      <c r="D246" s="1">
        <v>9.5</v>
      </c>
      <c r="F246" s="1">
        <v>3</v>
      </c>
      <c r="H246" s="1">
        <v>11</v>
      </c>
    </row>
    <row r="247" spans="4:8" x14ac:dyDescent="0.25">
      <c r="D247" s="1">
        <v>1.75</v>
      </c>
      <c r="F247" s="1">
        <v>7</v>
      </c>
      <c r="H247" s="1">
        <v>4</v>
      </c>
    </row>
    <row r="248" spans="4:8" x14ac:dyDescent="0.25">
      <c r="D248" s="1">
        <v>2</v>
      </c>
      <c r="F248" s="1">
        <v>17</v>
      </c>
      <c r="H248" s="1">
        <v>6.75</v>
      </c>
    </row>
    <row r="249" spans="4:8" x14ac:dyDescent="0.25">
      <c r="D249" s="1">
        <v>9.75</v>
      </c>
      <c r="F249" s="1">
        <v>14</v>
      </c>
    </row>
    <row r="250" spans="4:8" x14ac:dyDescent="0.25">
      <c r="D250" s="1">
        <v>5</v>
      </c>
      <c r="F250" s="1">
        <v>14</v>
      </c>
    </row>
    <row r="251" spans="4:8" x14ac:dyDescent="0.25">
      <c r="D251" s="1">
        <v>5.25</v>
      </c>
      <c r="F251" s="1">
        <v>10</v>
      </c>
    </row>
    <row r="252" spans="4:8" x14ac:dyDescent="0.25">
      <c r="D252" s="1">
        <v>3</v>
      </c>
      <c r="F252" s="1">
        <v>10</v>
      </c>
    </row>
    <row r="253" spans="4:8" x14ac:dyDescent="0.25">
      <c r="D253" s="1">
        <v>5</v>
      </c>
      <c r="F253" s="1">
        <v>18.75</v>
      </c>
    </row>
    <row r="254" spans="4:8" x14ac:dyDescent="0.25">
      <c r="D254" s="1">
        <v>2</v>
      </c>
      <c r="F254" s="1">
        <v>13</v>
      </c>
    </row>
    <row r="255" spans="4:8" x14ac:dyDescent="0.25">
      <c r="D255" s="1">
        <v>7</v>
      </c>
      <c r="F255" s="1">
        <v>17</v>
      </c>
    </row>
    <row r="256" spans="4:8" x14ac:dyDescent="0.25">
      <c r="D256" s="1">
        <v>4</v>
      </c>
      <c r="F256" s="1">
        <v>3</v>
      </c>
    </row>
    <row r="257" spans="4:6" x14ac:dyDescent="0.25">
      <c r="D257" s="1">
        <v>6</v>
      </c>
      <c r="F257" s="1">
        <v>3.5</v>
      </c>
    </row>
    <row r="258" spans="4:6" x14ac:dyDescent="0.25">
      <c r="D258" s="1">
        <v>2</v>
      </c>
      <c r="F258" s="1">
        <v>17</v>
      </c>
    </row>
    <row r="259" spans="4:6" x14ac:dyDescent="0.25">
      <c r="D259" s="1">
        <v>6</v>
      </c>
      <c r="F259" s="1">
        <v>13</v>
      </c>
    </row>
    <row r="260" spans="4:6" x14ac:dyDescent="0.25">
      <c r="D260" s="1">
        <v>2</v>
      </c>
      <c r="F260" s="1">
        <v>14</v>
      </c>
    </row>
    <row r="261" spans="4:6" x14ac:dyDescent="0.25">
      <c r="D261" s="1">
        <v>9.75</v>
      </c>
      <c r="F261" s="1">
        <v>3</v>
      </c>
    </row>
    <row r="262" spans="4:6" x14ac:dyDescent="0.25">
      <c r="D262" s="1">
        <v>2</v>
      </c>
      <c r="F262" s="1">
        <v>3</v>
      </c>
    </row>
    <row r="263" spans="4:6" x14ac:dyDescent="0.25">
      <c r="D263" s="1">
        <v>4</v>
      </c>
      <c r="F263" s="1">
        <v>17</v>
      </c>
    </row>
    <row r="264" spans="4:6" x14ac:dyDescent="0.25">
      <c r="D264" s="1">
        <v>6</v>
      </c>
      <c r="F264" s="1">
        <v>17</v>
      </c>
    </row>
    <row r="265" spans="4:6" x14ac:dyDescent="0.25">
      <c r="D265" s="1">
        <v>8</v>
      </c>
      <c r="F265" s="1">
        <v>14</v>
      </c>
    </row>
    <row r="266" spans="4:6" x14ac:dyDescent="0.25">
      <c r="D266" s="1">
        <v>5</v>
      </c>
      <c r="F266" s="1">
        <v>14</v>
      </c>
    </row>
    <row r="267" spans="4:6" x14ac:dyDescent="0.25">
      <c r="D267" s="1">
        <v>4</v>
      </c>
      <c r="F267" s="1">
        <v>3.5</v>
      </c>
    </row>
    <row r="268" spans="4:6" x14ac:dyDescent="0.25">
      <c r="D268" s="1">
        <v>4</v>
      </c>
      <c r="F268" s="1">
        <v>3</v>
      </c>
    </row>
    <row r="269" spans="4:6" x14ac:dyDescent="0.25">
      <c r="D269" s="1">
        <v>9.75</v>
      </c>
      <c r="F269" s="1">
        <v>17</v>
      </c>
    </row>
    <row r="270" spans="4:6" x14ac:dyDescent="0.25">
      <c r="D270" s="1">
        <v>3.5</v>
      </c>
      <c r="F270" s="1">
        <v>7</v>
      </c>
    </row>
    <row r="271" spans="4:6" x14ac:dyDescent="0.25">
      <c r="D271" s="1">
        <v>1.75</v>
      </c>
      <c r="F271" s="1">
        <v>11.25</v>
      </c>
    </row>
    <row r="272" spans="4:6" x14ac:dyDescent="0.25">
      <c r="D272" s="1">
        <v>10</v>
      </c>
      <c r="F272" s="1">
        <v>10</v>
      </c>
    </row>
    <row r="273" spans="4:6" x14ac:dyDescent="0.25">
      <c r="D273" s="1">
        <v>1.5</v>
      </c>
      <c r="F273" s="1">
        <v>3</v>
      </c>
    </row>
    <row r="274" spans="4:6" x14ac:dyDescent="0.25">
      <c r="D274" s="1">
        <v>9.75</v>
      </c>
      <c r="F274" s="1">
        <v>10</v>
      </c>
    </row>
    <row r="275" spans="4:6" x14ac:dyDescent="0.25">
      <c r="D275" s="1">
        <v>8</v>
      </c>
    </row>
    <row r="276" spans="4:6" x14ac:dyDescent="0.25">
      <c r="D276" s="1">
        <v>1.5</v>
      </c>
    </row>
    <row r="277" spans="4:6" x14ac:dyDescent="0.25">
      <c r="D277" s="1">
        <v>3.5</v>
      </c>
    </row>
    <row r="278" spans="4:6" x14ac:dyDescent="0.25">
      <c r="D278" s="1">
        <v>2</v>
      </c>
    </row>
    <row r="279" spans="4:6" x14ac:dyDescent="0.25">
      <c r="D279" s="1">
        <v>8</v>
      </c>
    </row>
    <row r="280" spans="4:6" x14ac:dyDescent="0.25">
      <c r="D280" s="1">
        <v>1.5</v>
      </c>
    </row>
    <row r="281" spans="4:6" x14ac:dyDescent="0.25">
      <c r="D281" s="1">
        <v>5</v>
      </c>
    </row>
    <row r="282" spans="4:6" x14ac:dyDescent="0.25">
      <c r="D282" s="1">
        <v>1.75</v>
      </c>
    </row>
    <row r="283" spans="4:6" x14ac:dyDescent="0.25">
      <c r="D283" s="1">
        <v>1.75</v>
      </c>
    </row>
    <row r="284" spans="4:6" x14ac:dyDescent="0.25">
      <c r="D284" s="1">
        <v>4</v>
      </c>
    </row>
    <row r="285" spans="4:6" x14ac:dyDescent="0.25">
      <c r="D285" s="1">
        <v>9.5</v>
      </c>
    </row>
    <row r="286" spans="4:6" x14ac:dyDescent="0.25">
      <c r="D286" s="1">
        <v>1.75</v>
      </c>
    </row>
    <row r="287" spans="4:6" x14ac:dyDescent="0.25">
      <c r="D287" s="1">
        <v>2</v>
      </c>
    </row>
    <row r="288" spans="4:6" x14ac:dyDescent="0.25">
      <c r="D288" s="1">
        <v>8</v>
      </c>
    </row>
    <row r="289" spans="4:4" x14ac:dyDescent="0.25">
      <c r="D289" s="1">
        <v>6</v>
      </c>
    </row>
    <row r="290" spans="4:4" x14ac:dyDescent="0.25">
      <c r="D290" s="1">
        <v>3.5</v>
      </c>
    </row>
    <row r="291" spans="4:4" x14ac:dyDescent="0.25">
      <c r="D291" s="1">
        <v>5</v>
      </c>
    </row>
    <row r="292" spans="4:4" x14ac:dyDescent="0.25">
      <c r="D292" s="1">
        <v>5.25</v>
      </c>
    </row>
    <row r="293" spans="4:4" x14ac:dyDescent="0.25">
      <c r="D293" s="1">
        <v>2</v>
      </c>
    </row>
    <row r="294" spans="4:4" x14ac:dyDescent="0.25">
      <c r="D294" s="1">
        <v>6</v>
      </c>
    </row>
    <row r="295" spans="4:4" x14ac:dyDescent="0.25">
      <c r="D295" s="1">
        <v>1.75</v>
      </c>
    </row>
    <row r="296" spans="4:4" x14ac:dyDescent="0.25">
      <c r="D296" s="1">
        <v>5.5</v>
      </c>
    </row>
    <row r="297" spans="4:4" x14ac:dyDescent="0.25">
      <c r="D297" s="1">
        <v>3.5</v>
      </c>
    </row>
    <row r="298" spans="4:4" x14ac:dyDescent="0.25">
      <c r="D298" s="1">
        <v>8</v>
      </c>
    </row>
    <row r="299" spans="4:4" x14ac:dyDescent="0.25">
      <c r="D299" s="1">
        <v>4</v>
      </c>
    </row>
    <row r="300" spans="4:4" x14ac:dyDescent="0.25">
      <c r="D300" s="1">
        <v>8</v>
      </c>
    </row>
    <row r="301" spans="4:4" x14ac:dyDescent="0.25">
      <c r="D301" s="1">
        <v>8</v>
      </c>
    </row>
    <row r="302" spans="4:4" x14ac:dyDescent="0.25">
      <c r="D302" s="1">
        <v>8</v>
      </c>
    </row>
    <row r="303" spans="4:4" x14ac:dyDescent="0.25">
      <c r="D303" s="1">
        <v>3</v>
      </c>
    </row>
    <row r="304" spans="4:4" x14ac:dyDescent="0.25">
      <c r="D304" s="1">
        <v>3</v>
      </c>
    </row>
    <row r="305" spans="4:4" x14ac:dyDescent="0.25">
      <c r="D305" s="1">
        <v>4</v>
      </c>
    </row>
    <row r="306" spans="4:4" x14ac:dyDescent="0.25">
      <c r="D306" s="1">
        <v>8</v>
      </c>
    </row>
    <row r="307" spans="4:4" x14ac:dyDescent="0.25">
      <c r="D307" s="1">
        <v>8</v>
      </c>
    </row>
    <row r="308" spans="4:4" x14ac:dyDescent="0.25">
      <c r="D308" s="1">
        <v>6</v>
      </c>
    </row>
    <row r="309" spans="4:4" x14ac:dyDescent="0.25">
      <c r="D309" s="1">
        <v>1.5</v>
      </c>
    </row>
    <row r="310" spans="4:4" x14ac:dyDescent="0.25">
      <c r="D310" s="1">
        <v>4</v>
      </c>
    </row>
    <row r="311" spans="4:4" x14ac:dyDescent="0.25">
      <c r="D311" s="1">
        <v>1.5</v>
      </c>
    </row>
    <row r="312" spans="4:4" x14ac:dyDescent="0.25">
      <c r="D312" s="1">
        <v>10</v>
      </c>
    </row>
    <row r="313" spans="4:4" x14ac:dyDescent="0.25">
      <c r="D313" s="1">
        <v>8</v>
      </c>
    </row>
    <row r="314" spans="4:4" x14ac:dyDescent="0.25">
      <c r="D314" s="1">
        <v>5</v>
      </c>
    </row>
    <row r="315" spans="4:4" x14ac:dyDescent="0.25">
      <c r="D315" s="1">
        <v>3</v>
      </c>
    </row>
    <row r="316" spans="4:4" x14ac:dyDescent="0.25">
      <c r="D316" s="1">
        <v>3.5</v>
      </c>
    </row>
    <row r="317" spans="4:4" x14ac:dyDescent="0.25">
      <c r="D317" s="1">
        <v>5.25</v>
      </c>
    </row>
    <row r="318" spans="4:4" x14ac:dyDescent="0.25">
      <c r="D318" s="1">
        <v>5</v>
      </c>
    </row>
    <row r="319" spans="4:4" x14ac:dyDescent="0.25">
      <c r="D319" s="1">
        <v>4</v>
      </c>
    </row>
    <row r="320" spans="4:4" x14ac:dyDescent="0.25">
      <c r="D320" s="1">
        <v>6</v>
      </c>
    </row>
    <row r="321" spans="4:4" x14ac:dyDescent="0.25">
      <c r="D321" s="1">
        <v>5.5</v>
      </c>
    </row>
    <row r="322" spans="4:4" x14ac:dyDescent="0.25">
      <c r="D322" s="1">
        <v>7</v>
      </c>
    </row>
    <row r="323" spans="4:4" x14ac:dyDescent="0.25">
      <c r="D323" s="1">
        <v>1.5</v>
      </c>
    </row>
    <row r="324" spans="4:4" x14ac:dyDescent="0.25">
      <c r="D324" s="1">
        <v>3</v>
      </c>
    </row>
    <row r="325" spans="4:4" x14ac:dyDescent="0.25">
      <c r="D325" s="1">
        <v>5</v>
      </c>
    </row>
    <row r="326" spans="4:4" x14ac:dyDescent="0.25">
      <c r="D326" s="1">
        <v>3.5</v>
      </c>
    </row>
  </sheetData>
  <mergeCells count="18">
    <mergeCell ref="C26:I26"/>
    <mergeCell ref="C27:I27"/>
    <mergeCell ref="C55:I55"/>
    <mergeCell ref="C56:I56"/>
    <mergeCell ref="C59:I60"/>
    <mergeCell ref="C52:I53"/>
    <mergeCell ref="B2:J2"/>
    <mergeCell ref="B20:J20"/>
    <mergeCell ref="C28:I28"/>
    <mergeCell ref="C47:I47"/>
    <mergeCell ref="C51:I51"/>
    <mergeCell ref="C48:I48"/>
    <mergeCell ref="C49:I49"/>
    <mergeCell ref="C40:I40"/>
    <mergeCell ref="C32:G32"/>
    <mergeCell ref="C30:I30"/>
    <mergeCell ref="C23:I24"/>
    <mergeCell ref="C22:I2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31"/>
  <sheetViews>
    <sheetView zoomScaleNormal="100" workbookViewId="0">
      <selection activeCell="A3" sqref="A3"/>
    </sheetView>
  </sheetViews>
  <sheetFormatPr defaultRowHeight="15" x14ac:dyDescent="0.25"/>
  <cols>
    <col min="1" max="1" width="27.7109375" bestFit="1" customWidth="1"/>
    <col min="2" max="2" width="31.42578125" bestFit="1" customWidth="1"/>
    <col min="3" max="3" width="30.140625" bestFit="1" customWidth="1"/>
    <col min="4" max="4" width="22" bestFit="1" customWidth="1"/>
    <col min="5" max="5" width="23.7109375" customWidth="1"/>
    <col min="6" max="6" width="22" bestFit="1" customWidth="1"/>
    <col min="7" max="7" width="28.7109375" bestFit="1" customWidth="1"/>
    <col min="8" max="8" width="26.7109375" bestFit="1" customWidth="1"/>
    <col min="9" max="9" width="16.42578125" bestFit="1" customWidth="1"/>
  </cols>
  <sheetData>
    <row r="1" spans="1:7" x14ac:dyDescent="0.25">
      <c r="A1" s="60" t="s">
        <v>7</v>
      </c>
      <c r="B1" t="s">
        <v>2086</v>
      </c>
    </row>
    <row r="3" spans="1:7" x14ac:dyDescent="0.25">
      <c r="A3" s="1" t="s">
        <v>2087</v>
      </c>
      <c r="B3" s="1" t="s">
        <v>2088</v>
      </c>
      <c r="C3" s="1" t="s">
        <v>2089</v>
      </c>
      <c r="E3" s="1" t="s">
        <v>2092</v>
      </c>
    </row>
    <row r="4" spans="1:7" x14ac:dyDescent="0.25">
      <c r="A4" s="3">
        <v>16290</v>
      </c>
      <c r="B4" s="3">
        <v>9069</v>
      </c>
      <c r="C4" s="3">
        <v>7221</v>
      </c>
      <c r="E4" s="3">
        <v>1000</v>
      </c>
    </row>
    <row r="6" spans="1:7" x14ac:dyDescent="0.25">
      <c r="A6" s="51">
        <f>GETPIVOTDATA("Sum of Sales Revenue",$A$3)</f>
        <v>16290</v>
      </c>
      <c r="B6" s="51">
        <f>GETPIVOTDATA("Sum of Total Cost",$A$3)</f>
        <v>9069</v>
      </c>
      <c r="C6" s="51">
        <f>GETPIVOTDATA("Sum of Net Profit",$A$3)</f>
        <v>7221</v>
      </c>
      <c r="E6">
        <f>GETPIVOTDATA("Customer Name",$E$3)</f>
        <v>1000</v>
      </c>
    </row>
    <row r="7" spans="1:7" x14ac:dyDescent="0.25">
      <c r="A7">
        <f>GETPIVOTDATA("Sum of Sales Revenue",$A$3)</f>
        <v>16290</v>
      </c>
      <c r="B7">
        <f>GETPIVOTDATA("Sum of Total Cost",$A$3)</f>
        <v>9069</v>
      </c>
      <c r="C7">
        <f>GETPIVOTDATA("Sum of Net Profit",$A$3)</f>
        <v>7221</v>
      </c>
    </row>
    <row r="9" spans="1:7" x14ac:dyDescent="0.25">
      <c r="A9" s="58" t="s">
        <v>2090</v>
      </c>
      <c r="B9" s="1" t="s">
        <v>2093</v>
      </c>
      <c r="E9" s="2" t="s">
        <v>7</v>
      </c>
      <c r="F9" s="2"/>
      <c r="G9" s="2" t="s">
        <v>2094</v>
      </c>
    </row>
    <row r="10" spans="1:7" x14ac:dyDescent="0.25">
      <c r="A10" s="91" t="s">
        <v>13</v>
      </c>
      <c r="B10" s="3">
        <v>847</v>
      </c>
      <c r="E10" t="s">
        <v>13</v>
      </c>
      <c r="F10">
        <f>GETPIVOTDATA("Status",$A$9,"Status","Completed")</f>
        <v>847</v>
      </c>
      <c r="G10" s="52">
        <f>F10/($F$10+$F$11)</f>
        <v>0.84699999999999998</v>
      </c>
    </row>
    <row r="11" spans="1:7" x14ac:dyDescent="0.25">
      <c r="A11" s="91" t="s">
        <v>40</v>
      </c>
      <c r="B11" s="3">
        <v>153</v>
      </c>
      <c r="E11" t="s">
        <v>2095</v>
      </c>
      <c r="F11">
        <f>GETPIVOTDATA("Status",$A$9,"Status","Returned")</f>
        <v>153</v>
      </c>
      <c r="G11" s="52">
        <f>F11/($F$10+$F$11)</f>
        <v>0.153</v>
      </c>
    </row>
    <row r="12" spans="1:7" x14ac:dyDescent="0.25">
      <c r="A12" s="1" t="s">
        <v>2091</v>
      </c>
      <c r="B12" s="3">
        <v>1000</v>
      </c>
    </row>
    <row r="13" spans="1:7" x14ac:dyDescent="0.25">
      <c r="E13" s="2" t="s">
        <v>7</v>
      </c>
      <c r="F13" s="2"/>
      <c r="G13" s="2" t="s">
        <v>2094</v>
      </c>
    </row>
    <row r="14" spans="1:7" x14ac:dyDescent="0.25">
      <c r="E14" t="s">
        <v>40</v>
      </c>
      <c r="F14">
        <f>GETPIVOTDATA("Status",$A$9,"Status","Returned")</f>
        <v>153</v>
      </c>
      <c r="G14" s="52">
        <f>F14/($F$14+$F$15)</f>
        <v>0.153</v>
      </c>
    </row>
    <row r="15" spans="1:7" x14ac:dyDescent="0.25">
      <c r="E15" t="s">
        <v>2095</v>
      </c>
      <c r="F15">
        <f>GETPIVOTDATA("Status",$A$9,"Status","Completed")</f>
        <v>847</v>
      </c>
      <c r="G15" s="52">
        <f>F15/($F$14+$F$15)</f>
        <v>0.84699999999999998</v>
      </c>
    </row>
    <row r="18" spans="1:5" x14ac:dyDescent="0.25">
      <c r="B18" s="50" t="s">
        <v>7</v>
      </c>
      <c r="C18" t="s">
        <v>2086</v>
      </c>
    </row>
    <row r="20" spans="1:5" x14ac:dyDescent="0.25">
      <c r="A20" s="2" t="s">
        <v>2108</v>
      </c>
      <c r="B20" s="58" t="s">
        <v>2090</v>
      </c>
      <c r="C20" s="1" t="s">
        <v>2087</v>
      </c>
      <c r="D20" s="1" t="s">
        <v>2088</v>
      </c>
      <c r="E20" s="1" t="s">
        <v>2089</v>
      </c>
    </row>
    <row r="21" spans="1:5" x14ac:dyDescent="0.25">
      <c r="A21" s="1">
        <v>1</v>
      </c>
      <c r="B21" s="91" t="s">
        <v>2096</v>
      </c>
      <c r="C21" s="3">
        <v>833.5</v>
      </c>
      <c r="D21" s="3">
        <v>462</v>
      </c>
      <c r="E21" s="3">
        <v>371.5</v>
      </c>
    </row>
    <row r="22" spans="1:5" x14ac:dyDescent="0.25">
      <c r="A22" s="1">
        <v>2</v>
      </c>
      <c r="B22" s="91" t="s">
        <v>2097</v>
      </c>
      <c r="C22" s="3">
        <v>895</v>
      </c>
      <c r="D22" s="3">
        <v>489</v>
      </c>
      <c r="E22" s="3">
        <v>406</v>
      </c>
    </row>
    <row r="23" spans="1:5" x14ac:dyDescent="0.25">
      <c r="A23" s="1">
        <v>3</v>
      </c>
      <c r="B23" s="91" t="s">
        <v>2098</v>
      </c>
      <c r="C23" s="3">
        <v>1226.5</v>
      </c>
      <c r="D23" s="3">
        <v>670</v>
      </c>
      <c r="E23" s="3">
        <v>556.5</v>
      </c>
    </row>
    <row r="24" spans="1:5" x14ac:dyDescent="0.25">
      <c r="A24" s="1">
        <v>4</v>
      </c>
      <c r="B24" s="91" t="s">
        <v>2099</v>
      </c>
      <c r="C24" s="3">
        <v>877.5</v>
      </c>
      <c r="D24" s="3">
        <v>498</v>
      </c>
      <c r="E24" s="3">
        <v>379.5</v>
      </c>
    </row>
    <row r="25" spans="1:5" x14ac:dyDescent="0.25">
      <c r="A25" s="1">
        <v>5</v>
      </c>
      <c r="B25" s="91" t="s">
        <v>2100</v>
      </c>
      <c r="C25" s="3">
        <v>921.5</v>
      </c>
      <c r="D25" s="3">
        <v>524</v>
      </c>
      <c r="E25" s="3">
        <v>397.5</v>
      </c>
    </row>
    <row r="26" spans="1:5" x14ac:dyDescent="0.25">
      <c r="A26" s="1">
        <v>6</v>
      </c>
      <c r="B26" s="91" t="s">
        <v>2101</v>
      </c>
      <c r="C26" s="3">
        <v>1127.75</v>
      </c>
      <c r="D26" s="3">
        <v>623</v>
      </c>
      <c r="E26" s="3">
        <v>504.75</v>
      </c>
    </row>
    <row r="27" spans="1:5" x14ac:dyDescent="0.25">
      <c r="A27" s="1">
        <v>7</v>
      </c>
      <c r="B27" s="91" t="s">
        <v>2102</v>
      </c>
      <c r="C27" s="3">
        <v>2328.5</v>
      </c>
      <c r="D27" s="3">
        <v>1305</v>
      </c>
      <c r="E27" s="3">
        <v>1023.5</v>
      </c>
    </row>
    <row r="28" spans="1:5" x14ac:dyDescent="0.25">
      <c r="A28" s="1">
        <v>8</v>
      </c>
      <c r="B28" s="91" t="s">
        <v>2103</v>
      </c>
      <c r="C28" s="3">
        <v>1748.5</v>
      </c>
      <c r="D28" s="3">
        <v>969</v>
      </c>
      <c r="E28" s="3">
        <v>779.5</v>
      </c>
    </row>
    <row r="29" spans="1:5" x14ac:dyDescent="0.25">
      <c r="A29" s="1">
        <v>9</v>
      </c>
      <c r="B29" s="91" t="s">
        <v>2104</v>
      </c>
      <c r="C29" s="3">
        <v>2078.25</v>
      </c>
      <c r="D29" s="3">
        <v>1153</v>
      </c>
      <c r="E29" s="3">
        <v>925.25</v>
      </c>
    </row>
    <row r="30" spans="1:5" x14ac:dyDescent="0.25">
      <c r="A30" s="1">
        <v>10</v>
      </c>
      <c r="B30" s="91" t="s">
        <v>2105</v>
      </c>
      <c r="C30" s="3">
        <v>2022</v>
      </c>
      <c r="D30" s="3">
        <v>1128</v>
      </c>
      <c r="E30" s="3">
        <v>894</v>
      </c>
    </row>
    <row r="31" spans="1:5" x14ac:dyDescent="0.25">
      <c r="A31" s="1">
        <v>11</v>
      </c>
      <c r="B31" s="91" t="s">
        <v>2106</v>
      </c>
      <c r="C31" s="3">
        <v>1162.5</v>
      </c>
      <c r="D31" s="3">
        <v>658</v>
      </c>
      <c r="E31" s="3">
        <v>504.5</v>
      </c>
    </row>
    <row r="32" spans="1:5" x14ac:dyDescent="0.25">
      <c r="A32" s="1">
        <v>12</v>
      </c>
      <c r="B32" s="91" t="s">
        <v>2107</v>
      </c>
      <c r="C32" s="3">
        <v>1068.5</v>
      </c>
      <c r="D32" s="3">
        <v>590</v>
      </c>
      <c r="E32" s="3">
        <v>478.5</v>
      </c>
    </row>
    <row r="33" spans="1:8" x14ac:dyDescent="0.25">
      <c r="B33" s="1" t="s">
        <v>2091</v>
      </c>
      <c r="C33" s="3">
        <v>16290</v>
      </c>
      <c r="D33" s="3">
        <v>9069</v>
      </c>
      <c r="E33" s="3">
        <v>7221</v>
      </c>
    </row>
    <row r="35" spans="1:8" ht="15.75" x14ac:dyDescent="0.25">
      <c r="D35" s="103" t="s">
        <v>2116</v>
      </c>
      <c r="E35" s="103"/>
      <c r="F35" s="103"/>
      <c r="G35" s="103"/>
      <c r="H35" s="103"/>
    </row>
    <row r="36" spans="1:8" x14ac:dyDescent="0.25">
      <c r="A36" s="58" t="s">
        <v>2090</v>
      </c>
      <c r="B36" s="2" t="s">
        <v>2109</v>
      </c>
      <c r="C36" s="2" t="s">
        <v>2110</v>
      </c>
      <c r="D36" s="2" t="s">
        <v>2111</v>
      </c>
      <c r="E36" s="2" t="s">
        <v>2112</v>
      </c>
      <c r="F36" s="2" t="s">
        <v>2113</v>
      </c>
      <c r="G36" s="2" t="s">
        <v>2114</v>
      </c>
      <c r="H36" s="2" t="s">
        <v>2115</v>
      </c>
    </row>
    <row r="37" spans="1:8" ht="15.75" x14ac:dyDescent="0.25">
      <c r="A37" s="91" t="s">
        <v>2096</v>
      </c>
      <c r="B37" s="1">
        <f>MATCH(A37, $B$21:$B$32, 0)-1</f>
        <v>0</v>
      </c>
      <c r="C37" s="1">
        <f>IFERROR(VLOOKUP(B37, $A$21:$E$32, 2, 0), 0)</f>
        <v>0</v>
      </c>
      <c r="D37" s="55">
        <f>A7</f>
        <v>16290</v>
      </c>
      <c r="E37" s="1">
        <f>IFERROR(VLOOKUP(B37, $A$21:$E$32, 3, 0), 0)</f>
        <v>0</v>
      </c>
      <c r="F37" s="1">
        <f>IF(E37=0, 0, D37-E37)</f>
        <v>0</v>
      </c>
      <c r="G37" s="53">
        <f>IF(E37=0, 0, (D37-E37)/E37)</f>
        <v>0</v>
      </c>
      <c r="H37" s="67" t="str">
        <f>G38&amp;" | "&amp;F38</f>
        <v>0.0% | $0</v>
      </c>
    </row>
    <row r="38" spans="1:8" x14ac:dyDescent="0.25">
      <c r="A38" s="91" t="s">
        <v>2097</v>
      </c>
      <c r="F38" s="1" t="str">
        <f>IF(F37&lt;&gt;0, TEXT(F37, "+$#,##0; -$#,##0"), "$0")</f>
        <v>$0</v>
      </c>
      <c r="G38" s="1" t="str">
        <f>IF(G37&gt;0, "+"&amp;TEXT(G37, "0.0%"), TEXT(G37, "0.0%"))</f>
        <v>0.0%</v>
      </c>
    </row>
    <row r="39" spans="1:8" x14ac:dyDescent="0.25">
      <c r="A39" s="91" t="s">
        <v>2098</v>
      </c>
    </row>
    <row r="40" spans="1:8" ht="15.75" x14ac:dyDescent="0.25">
      <c r="A40" s="91" t="s">
        <v>2099</v>
      </c>
      <c r="D40" s="103" t="s">
        <v>2117</v>
      </c>
      <c r="E40" s="103"/>
      <c r="F40" s="103"/>
      <c r="G40" s="103"/>
      <c r="H40" s="103"/>
    </row>
    <row r="41" spans="1:8" x14ac:dyDescent="0.25">
      <c r="A41" s="91" t="s">
        <v>2100</v>
      </c>
      <c r="D41" s="2" t="s">
        <v>2118</v>
      </c>
      <c r="E41" s="2" t="s">
        <v>2119</v>
      </c>
      <c r="F41" s="2" t="s">
        <v>2113</v>
      </c>
      <c r="G41" s="2" t="s">
        <v>2120</v>
      </c>
      <c r="H41" s="2" t="s">
        <v>2121</v>
      </c>
    </row>
    <row r="42" spans="1:8" ht="15.75" x14ac:dyDescent="0.25">
      <c r="A42" s="91" t="s">
        <v>2101</v>
      </c>
      <c r="D42" s="56">
        <f>B7</f>
        <v>9069</v>
      </c>
      <c r="E42" s="1">
        <f>IFERROR(VLOOKUP(B37, $A$21:$E$32, 4, 0), 0)</f>
        <v>0</v>
      </c>
      <c r="F42" s="1">
        <f>IF(E42=0, 0, D42-E42)</f>
        <v>0</v>
      </c>
      <c r="G42" s="53">
        <f>IF(E42=0, 0, (D42-E42)/E42)</f>
        <v>0</v>
      </c>
      <c r="H42" s="67" t="str">
        <f>G43&amp;" | "&amp;F43</f>
        <v>0.0% | $0</v>
      </c>
    </row>
    <row r="43" spans="1:8" x14ac:dyDescent="0.25">
      <c r="A43" s="91" t="s">
        <v>2102</v>
      </c>
      <c r="F43" s="1" t="str">
        <f>IF(F42&lt;&gt;0, TEXT(F42, "+$#,##0; -$#,##0"), "$0")</f>
        <v>$0</v>
      </c>
      <c r="G43" s="1" t="str">
        <f>IF(G42&gt;0, "+"&amp;TEXT(G42, "0.0%"), TEXT(G42, "0.0%"))</f>
        <v>0.0%</v>
      </c>
    </row>
    <row r="44" spans="1:8" x14ac:dyDescent="0.25">
      <c r="A44" s="91" t="s">
        <v>2103</v>
      </c>
    </row>
    <row r="45" spans="1:8" ht="15.75" x14ac:dyDescent="0.25">
      <c r="A45" s="91" t="s">
        <v>2104</v>
      </c>
      <c r="D45" s="103" t="s">
        <v>2122</v>
      </c>
      <c r="E45" s="103"/>
      <c r="F45" s="103"/>
      <c r="G45" s="103"/>
      <c r="H45" s="103"/>
    </row>
    <row r="46" spans="1:8" x14ac:dyDescent="0.25">
      <c r="A46" s="91" t="s">
        <v>2105</v>
      </c>
      <c r="D46" s="2" t="s">
        <v>2123</v>
      </c>
      <c r="E46" s="2" t="s">
        <v>2124</v>
      </c>
      <c r="F46" s="2" t="s">
        <v>2113</v>
      </c>
      <c r="G46" s="2" t="s">
        <v>2120</v>
      </c>
      <c r="H46" s="2" t="s">
        <v>2125</v>
      </c>
    </row>
    <row r="47" spans="1:8" ht="15.75" x14ac:dyDescent="0.25">
      <c r="A47" s="91" t="s">
        <v>2106</v>
      </c>
      <c r="D47" s="57">
        <f>C7</f>
        <v>7221</v>
      </c>
      <c r="E47" s="1">
        <f>IFERROR(VLOOKUP(B37, $A$21:$E$32, 5, 0), 0)</f>
        <v>0</v>
      </c>
      <c r="F47" s="1">
        <f>IF(E47=0, 0, D47-E47)</f>
        <v>0</v>
      </c>
      <c r="G47" s="53">
        <f>IF(E47=0, 0, (D47-E47)/E47)</f>
        <v>0</v>
      </c>
      <c r="H47" s="67" t="str">
        <f>G48&amp;" | "&amp;F48</f>
        <v>0.0% | $0</v>
      </c>
    </row>
    <row r="48" spans="1:8" x14ac:dyDescent="0.25">
      <c r="A48" s="91" t="s">
        <v>2107</v>
      </c>
      <c r="E48" s="1"/>
      <c r="F48" s="1" t="str">
        <f>IF(F47&lt;&gt;0, TEXT(F47, "+$#,##0; -$#,##0"), "$0")</f>
        <v>$0</v>
      </c>
      <c r="G48" s="1" t="str">
        <f>IF(G47&gt;0, "+"&amp;TEXT(G47, "0.0%"), TEXT(G47, "0.0%"))</f>
        <v>0.0%</v>
      </c>
      <c r="H48" s="1"/>
    </row>
    <row r="50" spans="1:8" ht="15.75" x14ac:dyDescent="0.25">
      <c r="D50" s="103" t="s">
        <v>2126</v>
      </c>
      <c r="E50" s="103"/>
      <c r="F50" s="103"/>
      <c r="G50" s="103"/>
      <c r="H50" s="103"/>
    </row>
    <row r="51" spans="1:8" x14ac:dyDescent="0.25">
      <c r="A51" s="2" t="s">
        <v>2108</v>
      </c>
      <c r="B51" s="58" t="s">
        <v>2090</v>
      </c>
      <c r="C51" s="1" t="s">
        <v>2092</v>
      </c>
      <c r="D51" s="2" t="s">
        <v>2127</v>
      </c>
      <c r="E51" s="2" t="s">
        <v>2128</v>
      </c>
      <c r="F51" s="2" t="s">
        <v>2113</v>
      </c>
      <c r="G51" s="2" t="s">
        <v>2120</v>
      </c>
      <c r="H51" s="2" t="s">
        <v>2129</v>
      </c>
    </row>
    <row r="52" spans="1:8" ht="15.75" x14ac:dyDescent="0.25">
      <c r="A52" s="1">
        <v>1</v>
      </c>
      <c r="B52" s="91" t="s">
        <v>2096</v>
      </c>
      <c r="C52" s="3">
        <v>57</v>
      </c>
      <c r="D52" s="54">
        <f>E6</f>
        <v>1000</v>
      </c>
      <c r="E52" s="1">
        <f>IFERROR(VLOOKUP(B37, $A$52:$C$63, 3, 0), 0)</f>
        <v>0</v>
      </c>
      <c r="F52" s="1">
        <f>IF(E52=0, 0, D52-E52)</f>
        <v>0</v>
      </c>
      <c r="G52" s="53">
        <f>IF(E52=0, 0, (D52-E52)/E52)</f>
        <v>0</v>
      </c>
      <c r="H52" s="67" t="str">
        <f>G53&amp;" | "&amp;F53</f>
        <v>0.0% | 0</v>
      </c>
    </row>
    <row r="53" spans="1:8" x14ac:dyDescent="0.25">
      <c r="A53" s="1">
        <v>2</v>
      </c>
      <c r="B53" s="91" t="s">
        <v>2097</v>
      </c>
      <c r="C53" s="3">
        <v>66</v>
      </c>
      <c r="E53" s="1"/>
      <c r="F53" s="1" t="str">
        <f>IF(F52&lt;&gt;0, TEXT(F52, "+#,##0;-#,##0"), "0")</f>
        <v>0</v>
      </c>
      <c r="G53" s="1" t="str">
        <f>IF(G52&gt;0, "+"&amp;TEXT(G52, "0.0%"), TEXT(G52, "0.0%"))</f>
        <v>0.0%</v>
      </c>
      <c r="H53" s="1"/>
    </row>
    <row r="54" spans="1:8" x14ac:dyDescent="0.25">
      <c r="A54" s="1">
        <v>3</v>
      </c>
      <c r="B54" s="91" t="s">
        <v>2098</v>
      </c>
      <c r="C54" s="3">
        <v>68</v>
      </c>
    </row>
    <row r="55" spans="1:8" x14ac:dyDescent="0.25">
      <c r="A55" s="1">
        <v>4</v>
      </c>
      <c r="B55" s="91" t="s">
        <v>2099</v>
      </c>
      <c r="C55" s="3">
        <v>52</v>
      </c>
    </row>
    <row r="56" spans="1:8" x14ac:dyDescent="0.25">
      <c r="A56" s="1">
        <v>5</v>
      </c>
      <c r="B56" s="91" t="s">
        <v>2100</v>
      </c>
      <c r="C56" s="3">
        <v>60</v>
      </c>
    </row>
    <row r="57" spans="1:8" x14ac:dyDescent="0.25">
      <c r="A57" s="1">
        <v>6</v>
      </c>
      <c r="B57" s="91" t="s">
        <v>2101</v>
      </c>
      <c r="C57" s="3">
        <v>70</v>
      </c>
    </row>
    <row r="58" spans="1:8" x14ac:dyDescent="0.25">
      <c r="A58" s="1">
        <v>7</v>
      </c>
      <c r="B58" s="91" t="s">
        <v>2102</v>
      </c>
      <c r="C58" s="3">
        <v>143</v>
      </c>
    </row>
    <row r="59" spans="1:8" x14ac:dyDescent="0.25">
      <c r="A59" s="1">
        <v>8</v>
      </c>
      <c r="B59" s="91" t="s">
        <v>2103</v>
      </c>
      <c r="C59" s="3">
        <v>119</v>
      </c>
    </row>
    <row r="60" spans="1:8" x14ac:dyDescent="0.25">
      <c r="A60" s="1">
        <v>9</v>
      </c>
      <c r="B60" s="91" t="s">
        <v>2104</v>
      </c>
      <c r="C60" s="3">
        <v>130</v>
      </c>
    </row>
    <row r="61" spans="1:8" x14ac:dyDescent="0.25">
      <c r="A61" s="1">
        <v>10</v>
      </c>
      <c r="B61" s="91" t="s">
        <v>2105</v>
      </c>
      <c r="C61" s="3">
        <v>113</v>
      </c>
    </row>
    <row r="62" spans="1:8" x14ac:dyDescent="0.25">
      <c r="A62" s="1">
        <v>11</v>
      </c>
      <c r="B62" s="91" t="s">
        <v>2106</v>
      </c>
      <c r="C62" s="3">
        <v>62</v>
      </c>
    </row>
    <row r="63" spans="1:8" x14ac:dyDescent="0.25">
      <c r="A63" s="1">
        <v>12</v>
      </c>
      <c r="B63" s="91" t="s">
        <v>2107</v>
      </c>
      <c r="C63" s="3">
        <v>60</v>
      </c>
    </row>
    <row r="64" spans="1:8" x14ac:dyDescent="0.25">
      <c r="B64" s="1" t="s">
        <v>2091</v>
      </c>
      <c r="C64" s="3">
        <v>1000</v>
      </c>
    </row>
    <row r="67" spans="1:9" x14ac:dyDescent="0.25">
      <c r="A67" s="59" t="s">
        <v>7</v>
      </c>
      <c r="B67" t="s">
        <v>2086</v>
      </c>
    </row>
    <row r="68" spans="1:9" x14ac:dyDescent="0.25">
      <c r="F68" s="102" t="s">
        <v>2149</v>
      </c>
      <c r="G68" s="102"/>
      <c r="H68" s="102"/>
      <c r="I68" s="102"/>
    </row>
    <row r="69" spans="1:9" x14ac:dyDescent="0.25">
      <c r="A69" s="58" t="s">
        <v>2090</v>
      </c>
      <c r="B69" s="1" t="s">
        <v>2087</v>
      </c>
      <c r="C69" s="1" t="s">
        <v>2088</v>
      </c>
      <c r="D69" s="1" t="s">
        <v>2089</v>
      </c>
      <c r="F69" s="2" t="s">
        <v>2</v>
      </c>
      <c r="G69" s="2" t="s">
        <v>2047</v>
      </c>
      <c r="H69" s="2" t="s">
        <v>2138</v>
      </c>
      <c r="I69" s="2" t="s">
        <v>2048</v>
      </c>
    </row>
    <row r="70" spans="1:9" x14ac:dyDescent="0.25">
      <c r="A70" s="91" t="s">
        <v>65</v>
      </c>
      <c r="B70" s="3">
        <v>2653.75</v>
      </c>
      <c r="C70" s="3">
        <v>1285</v>
      </c>
      <c r="D70" s="3">
        <v>1368.75</v>
      </c>
      <c r="F70" t="str">
        <f t="shared" ref="F70:F74" si="0">A70</f>
        <v>Cleanser</v>
      </c>
      <c r="G70">
        <f t="shared" ref="G70:G74" si="1">B70</f>
        <v>2653.75</v>
      </c>
      <c r="H70">
        <f t="shared" ref="H70:H74" si="2">C70</f>
        <v>1285</v>
      </c>
      <c r="I70">
        <f t="shared" ref="I70:I74" si="3">D70</f>
        <v>1368.75</v>
      </c>
    </row>
    <row r="71" spans="1:9" x14ac:dyDescent="0.25">
      <c r="A71" s="91" t="s">
        <v>11</v>
      </c>
      <c r="B71" s="3">
        <v>3149</v>
      </c>
      <c r="C71" s="3">
        <v>1701</v>
      </c>
      <c r="D71" s="3">
        <v>1448</v>
      </c>
      <c r="F71" t="str">
        <f t="shared" si="0"/>
        <v>Moisturizer</v>
      </c>
      <c r="G71">
        <f t="shared" si="1"/>
        <v>3149</v>
      </c>
      <c r="H71">
        <f t="shared" si="2"/>
        <v>1701</v>
      </c>
      <c r="I71">
        <f t="shared" si="3"/>
        <v>1448</v>
      </c>
    </row>
    <row r="72" spans="1:9" x14ac:dyDescent="0.25">
      <c r="A72" s="91" t="s">
        <v>22</v>
      </c>
      <c r="B72" s="3">
        <v>5589</v>
      </c>
      <c r="C72" s="3">
        <v>3419</v>
      </c>
      <c r="D72" s="3">
        <v>2170</v>
      </c>
      <c r="F72" t="str">
        <f t="shared" si="0"/>
        <v>Serum</v>
      </c>
      <c r="G72">
        <f t="shared" si="1"/>
        <v>5589</v>
      </c>
      <c r="H72">
        <f t="shared" si="2"/>
        <v>3419</v>
      </c>
      <c r="I72">
        <f t="shared" si="3"/>
        <v>2170</v>
      </c>
    </row>
    <row r="73" spans="1:9" x14ac:dyDescent="0.25">
      <c r="A73" s="91" t="s">
        <v>17</v>
      </c>
      <c r="B73" s="3">
        <v>2829.25</v>
      </c>
      <c r="C73" s="3">
        <v>1621</v>
      </c>
      <c r="D73" s="3">
        <v>1208.25</v>
      </c>
      <c r="F73" t="str">
        <f t="shared" si="0"/>
        <v>Sunscreen</v>
      </c>
      <c r="G73">
        <f t="shared" si="1"/>
        <v>2829.25</v>
      </c>
      <c r="H73">
        <f t="shared" si="2"/>
        <v>1621</v>
      </c>
      <c r="I73">
        <f t="shared" si="3"/>
        <v>1208.25</v>
      </c>
    </row>
    <row r="74" spans="1:9" x14ac:dyDescent="0.25">
      <c r="A74" s="91" t="s">
        <v>26</v>
      </c>
      <c r="B74" s="3">
        <v>2069</v>
      </c>
      <c r="C74" s="3">
        <v>1043</v>
      </c>
      <c r="D74" s="3">
        <v>1026</v>
      </c>
      <c r="F74" t="str">
        <f t="shared" si="0"/>
        <v>Toner</v>
      </c>
      <c r="G74">
        <f t="shared" si="1"/>
        <v>2069</v>
      </c>
      <c r="H74">
        <f t="shared" si="2"/>
        <v>1043</v>
      </c>
      <c r="I74">
        <f t="shared" si="3"/>
        <v>1026</v>
      </c>
    </row>
    <row r="75" spans="1:9" x14ac:dyDescent="0.25">
      <c r="A75" s="1" t="s">
        <v>2091</v>
      </c>
      <c r="B75" s="3">
        <v>16290</v>
      </c>
      <c r="C75" s="3">
        <v>9069</v>
      </c>
      <c r="D75" s="3">
        <v>7221</v>
      </c>
    </row>
    <row r="78" spans="1:9" x14ac:dyDescent="0.25">
      <c r="A78" s="59" t="s">
        <v>7</v>
      </c>
      <c r="B78" t="s">
        <v>2086</v>
      </c>
    </row>
    <row r="79" spans="1:9" x14ac:dyDescent="0.25">
      <c r="F79" s="102" t="s">
        <v>2150</v>
      </c>
      <c r="G79" s="102"/>
      <c r="H79" s="102"/>
      <c r="I79" s="102"/>
    </row>
    <row r="80" spans="1:9" x14ac:dyDescent="0.25">
      <c r="A80" s="58" t="s">
        <v>2090</v>
      </c>
      <c r="B80" s="1" t="s">
        <v>2087</v>
      </c>
      <c r="C80" s="1" t="s">
        <v>2088</v>
      </c>
      <c r="D80" s="1" t="s">
        <v>2089</v>
      </c>
      <c r="F80" s="2" t="s">
        <v>2044</v>
      </c>
      <c r="G80" s="2" t="s">
        <v>2047</v>
      </c>
      <c r="H80" s="2" t="s">
        <v>2049</v>
      </c>
      <c r="I80" s="2" t="s">
        <v>2048</v>
      </c>
    </row>
    <row r="81" spans="1:9" x14ac:dyDescent="0.25">
      <c r="A81" s="91" t="s">
        <v>2096</v>
      </c>
      <c r="B81" s="3">
        <v>833.5</v>
      </c>
      <c r="C81" s="3">
        <v>462</v>
      </c>
      <c r="D81" s="3">
        <v>371.5</v>
      </c>
      <c r="F81" t="str">
        <f>A81</f>
        <v>Jan</v>
      </c>
      <c r="G81">
        <f t="shared" ref="G81:I81" si="4">B81</f>
        <v>833.5</v>
      </c>
      <c r="H81">
        <f t="shared" si="4"/>
        <v>462</v>
      </c>
      <c r="I81">
        <f t="shared" si="4"/>
        <v>371.5</v>
      </c>
    </row>
    <row r="82" spans="1:9" x14ac:dyDescent="0.25">
      <c r="A82" s="91" t="s">
        <v>2097</v>
      </c>
      <c r="B82" s="3">
        <v>895</v>
      </c>
      <c r="C82" s="3">
        <v>489</v>
      </c>
      <c r="D82" s="3">
        <v>406</v>
      </c>
      <c r="F82" t="str">
        <f t="shared" ref="F82:F92" si="5">A82</f>
        <v>Feb</v>
      </c>
      <c r="G82">
        <f t="shared" ref="G82:G92" si="6">B82</f>
        <v>895</v>
      </c>
      <c r="H82">
        <f t="shared" ref="H82:H92" si="7">C82</f>
        <v>489</v>
      </c>
      <c r="I82">
        <f t="shared" ref="I82:I92" si="8">D82</f>
        <v>406</v>
      </c>
    </row>
    <row r="83" spans="1:9" x14ac:dyDescent="0.25">
      <c r="A83" s="91" t="s">
        <v>2098</v>
      </c>
      <c r="B83" s="3">
        <v>1226.5</v>
      </c>
      <c r="C83" s="3">
        <v>670</v>
      </c>
      <c r="D83" s="3">
        <v>556.5</v>
      </c>
      <c r="F83" t="str">
        <f t="shared" si="5"/>
        <v>Mar</v>
      </c>
      <c r="G83">
        <f t="shared" si="6"/>
        <v>1226.5</v>
      </c>
      <c r="H83">
        <f t="shared" si="7"/>
        <v>670</v>
      </c>
      <c r="I83">
        <f t="shared" si="8"/>
        <v>556.5</v>
      </c>
    </row>
    <row r="84" spans="1:9" x14ac:dyDescent="0.25">
      <c r="A84" s="91" t="s">
        <v>2099</v>
      </c>
      <c r="B84" s="3">
        <v>877.5</v>
      </c>
      <c r="C84" s="3">
        <v>498</v>
      </c>
      <c r="D84" s="3">
        <v>379.5</v>
      </c>
      <c r="F84" t="str">
        <f t="shared" si="5"/>
        <v>Apr</v>
      </c>
      <c r="G84">
        <f t="shared" si="6"/>
        <v>877.5</v>
      </c>
      <c r="H84">
        <f t="shared" si="7"/>
        <v>498</v>
      </c>
      <c r="I84">
        <f t="shared" si="8"/>
        <v>379.5</v>
      </c>
    </row>
    <row r="85" spans="1:9" x14ac:dyDescent="0.25">
      <c r="A85" s="91" t="s">
        <v>2100</v>
      </c>
      <c r="B85" s="3">
        <v>921.5</v>
      </c>
      <c r="C85" s="3">
        <v>524</v>
      </c>
      <c r="D85" s="3">
        <v>397.5</v>
      </c>
      <c r="F85" t="str">
        <f t="shared" si="5"/>
        <v>May</v>
      </c>
      <c r="G85">
        <f t="shared" si="6"/>
        <v>921.5</v>
      </c>
      <c r="H85">
        <f t="shared" si="7"/>
        <v>524</v>
      </c>
      <c r="I85">
        <f t="shared" si="8"/>
        <v>397.5</v>
      </c>
    </row>
    <row r="86" spans="1:9" x14ac:dyDescent="0.25">
      <c r="A86" s="91" t="s">
        <v>2101</v>
      </c>
      <c r="B86" s="3">
        <v>1127.75</v>
      </c>
      <c r="C86" s="3">
        <v>623</v>
      </c>
      <c r="D86" s="3">
        <v>504.75</v>
      </c>
      <c r="F86" t="str">
        <f t="shared" si="5"/>
        <v>Jun</v>
      </c>
      <c r="G86">
        <f t="shared" si="6"/>
        <v>1127.75</v>
      </c>
      <c r="H86">
        <f t="shared" si="7"/>
        <v>623</v>
      </c>
      <c r="I86">
        <f t="shared" si="8"/>
        <v>504.75</v>
      </c>
    </row>
    <row r="87" spans="1:9" x14ac:dyDescent="0.25">
      <c r="A87" s="91" t="s">
        <v>2102</v>
      </c>
      <c r="B87" s="3">
        <v>2328.5</v>
      </c>
      <c r="C87" s="3">
        <v>1305</v>
      </c>
      <c r="D87" s="3">
        <v>1023.5</v>
      </c>
      <c r="F87" t="str">
        <f t="shared" si="5"/>
        <v>Jul</v>
      </c>
      <c r="G87">
        <f t="shared" si="6"/>
        <v>2328.5</v>
      </c>
      <c r="H87">
        <f t="shared" si="7"/>
        <v>1305</v>
      </c>
      <c r="I87">
        <f t="shared" si="8"/>
        <v>1023.5</v>
      </c>
    </row>
    <row r="88" spans="1:9" x14ac:dyDescent="0.25">
      <c r="A88" s="91" t="s">
        <v>2103</v>
      </c>
      <c r="B88" s="3">
        <v>1748.5</v>
      </c>
      <c r="C88" s="3">
        <v>969</v>
      </c>
      <c r="D88" s="3">
        <v>779.5</v>
      </c>
      <c r="F88" t="str">
        <f t="shared" si="5"/>
        <v>Aug</v>
      </c>
      <c r="G88">
        <f t="shared" si="6"/>
        <v>1748.5</v>
      </c>
      <c r="H88">
        <f t="shared" si="7"/>
        <v>969</v>
      </c>
      <c r="I88">
        <f t="shared" si="8"/>
        <v>779.5</v>
      </c>
    </row>
    <row r="89" spans="1:9" x14ac:dyDescent="0.25">
      <c r="A89" s="91" t="s">
        <v>2104</v>
      </c>
      <c r="B89" s="3">
        <v>2078.25</v>
      </c>
      <c r="C89" s="3">
        <v>1153</v>
      </c>
      <c r="D89" s="3">
        <v>925.25</v>
      </c>
      <c r="F89" t="str">
        <f t="shared" si="5"/>
        <v>Sep</v>
      </c>
      <c r="G89">
        <f t="shared" si="6"/>
        <v>2078.25</v>
      </c>
      <c r="H89">
        <f t="shared" si="7"/>
        <v>1153</v>
      </c>
      <c r="I89">
        <f t="shared" si="8"/>
        <v>925.25</v>
      </c>
    </row>
    <row r="90" spans="1:9" x14ac:dyDescent="0.25">
      <c r="A90" s="91" t="s">
        <v>2105</v>
      </c>
      <c r="B90" s="3">
        <v>2022</v>
      </c>
      <c r="C90" s="3">
        <v>1128</v>
      </c>
      <c r="D90" s="3">
        <v>894</v>
      </c>
      <c r="F90" t="str">
        <f t="shared" si="5"/>
        <v>Oct</v>
      </c>
      <c r="G90">
        <f t="shared" si="6"/>
        <v>2022</v>
      </c>
      <c r="H90">
        <f t="shared" si="7"/>
        <v>1128</v>
      </c>
      <c r="I90">
        <f t="shared" si="8"/>
        <v>894</v>
      </c>
    </row>
    <row r="91" spans="1:9" x14ac:dyDescent="0.25">
      <c r="A91" s="91" t="s">
        <v>2106</v>
      </c>
      <c r="B91" s="3">
        <v>1162.5</v>
      </c>
      <c r="C91" s="3">
        <v>658</v>
      </c>
      <c r="D91" s="3">
        <v>504.5</v>
      </c>
      <c r="F91" t="str">
        <f t="shared" si="5"/>
        <v>Nov</v>
      </c>
      <c r="G91">
        <f t="shared" si="6"/>
        <v>1162.5</v>
      </c>
      <c r="H91">
        <f t="shared" si="7"/>
        <v>658</v>
      </c>
      <c r="I91">
        <f t="shared" si="8"/>
        <v>504.5</v>
      </c>
    </row>
    <row r="92" spans="1:9" x14ac:dyDescent="0.25">
      <c r="A92" s="91" t="s">
        <v>2107</v>
      </c>
      <c r="B92" s="3">
        <v>1068.5</v>
      </c>
      <c r="C92" s="3">
        <v>590</v>
      </c>
      <c r="D92" s="3">
        <v>478.5</v>
      </c>
      <c r="F92" t="str">
        <f t="shared" si="5"/>
        <v>Dec</v>
      </c>
      <c r="G92">
        <f t="shared" si="6"/>
        <v>1068.5</v>
      </c>
      <c r="H92">
        <f t="shared" si="7"/>
        <v>590</v>
      </c>
      <c r="I92">
        <f t="shared" si="8"/>
        <v>478.5</v>
      </c>
    </row>
    <row r="93" spans="1:9" x14ac:dyDescent="0.25">
      <c r="A93" s="1" t="s">
        <v>2091</v>
      </c>
      <c r="B93" s="3">
        <v>16290</v>
      </c>
      <c r="C93" s="3">
        <v>9069</v>
      </c>
      <c r="D93" s="3">
        <v>7221</v>
      </c>
    </row>
    <row r="96" spans="1:9" x14ac:dyDescent="0.25">
      <c r="A96" s="59" t="s">
        <v>7</v>
      </c>
      <c r="B96" t="s">
        <v>2086</v>
      </c>
    </row>
    <row r="97" spans="1:9" x14ac:dyDescent="0.25">
      <c r="D97" s="102" t="s">
        <v>2148</v>
      </c>
      <c r="E97" s="102"/>
    </row>
    <row r="98" spans="1:9" x14ac:dyDescent="0.25">
      <c r="A98" s="58" t="s">
        <v>2090</v>
      </c>
      <c r="B98" s="1" t="s">
        <v>2087</v>
      </c>
      <c r="D98" s="2" t="s">
        <v>2045</v>
      </c>
      <c r="E98" s="2" t="s">
        <v>2047</v>
      </c>
    </row>
    <row r="99" spans="1:9" x14ac:dyDescent="0.25">
      <c r="A99" s="91" t="s">
        <v>2130</v>
      </c>
      <c r="B99" s="3">
        <v>2561.5</v>
      </c>
      <c r="D99" t="str">
        <f>A99</f>
        <v>Sun</v>
      </c>
      <c r="E99">
        <f>B99</f>
        <v>2561.5</v>
      </c>
    </row>
    <row r="100" spans="1:9" ht="15.75" x14ac:dyDescent="0.25">
      <c r="A100" s="91" t="s">
        <v>2131</v>
      </c>
      <c r="B100" s="3">
        <v>2623.25</v>
      </c>
      <c r="D100" t="str">
        <f t="shared" ref="D100:D105" si="9">A100</f>
        <v>Mon</v>
      </c>
      <c r="E100">
        <f t="shared" ref="E100:E105" si="10">B100</f>
        <v>2623.25</v>
      </c>
      <c r="I100" s="61"/>
    </row>
    <row r="101" spans="1:9" x14ac:dyDescent="0.25">
      <c r="A101" s="91" t="s">
        <v>2132</v>
      </c>
      <c r="B101" s="3">
        <v>2031.5</v>
      </c>
      <c r="D101" t="str">
        <f t="shared" si="9"/>
        <v>Tue</v>
      </c>
      <c r="E101">
        <f t="shared" si="10"/>
        <v>2031.5</v>
      </c>
    </row>
    <row r="102" spans="1:9" x14ac:dyDescent="0.25">
      <c r="A102" s="91" t="s">
        <v>2133</v>
      </c>
      <c r="B102" s="3">
        <v>2499.25</v>
      </c>
      <c r="D102" t="str">
        <f t="shared" si="9"/>
        <v>Wed</v>
      </c>
      <c r="E102">
        <f t="shared" si="10"/>
        <v>2499.25</v>
      </c>
    </row>
    <row r="103" spans="1:9" x14ac:dyDescent="0.25">
      <c r="A103" s="91" t="s">
        <v>2134</v>
      </c>
      <c r="B103" s="3">
        <v>2535.75</v>
      </c>
      <c r="D103" t="str">
        <f t="shared" si="9"/>
        <v>Thu</v>
      </c>
      <c r="E103">
        <f t="shared" si="10"/>
        <v>2535.75</v>
      </c>
    </row>
    <row r="104" spans="1:9" x14ac:dyDescent="0.25">
      <c r="A104" s="91" t="s">
        <v>2135</v>
      </c>
      <c r="B104" s="3">
        <v>2162.75</v>
      </c>
      <c r="D104" t="str">
        <f t="shared" si="9"/>
        <v>Fri</v>
      </c>
      <c r="E104">
        <f t="shared" si="10"/>
        <v>2162.75</v>
      </c>
    </row>
    <row r="105" spans="1:9" x14ac:dyDescent="0.25">
      <c r="A105" s="91" t="s">
        <v>2136</v>
      </c>
      <c r="B105" s="3">
        <v>1876</v>
      </c>
      <c r="D105" t="str">
        <f t="shared" si="9"/>
        <v>Sat</v>
      </c>
      <c r="E105">
        <f t="shared" si="10"/>
        <v>1876</v>
      </c>
    </row>
    <row r="106" spans="1:9" x14ac:dyDescent="0.25">
      <c r="A106" s="1" t="s">
        <v>2091</v>
      </c>
      <c r="B106" s="3">
        <v>16290</v>
      </c>
    </row>
    <row r="109" spans="1:9" x14ac:dyDescent="0.25">
      <c r="A109" s="59" t="s">
        <v>7</v>
      </c>
      <c r="B109" t="s">
        <v>2086</v>
      </c>
    </row>
    <row r="110" spans="1:9" x14ac:dyDescent="0.25">
      <c r="D110" s="102" t="s">
        <v>2151</v>
      </c>
      <c r="E110" s="102"/>
    </row>
    <row r="111" spans="1:9" x14ac:dyDescent="0.25">
      <c r="A111" s="58" t="s">
        <v>2090</v>
      </c>
      <c r="B111" s="1" t="s">
        <v>2137</v>
      </c>
      <c r="D111" s="2" t="s">
        <v>8</v>
      </c>
      <c r="E111" s="2" t="s">
        <v>2139</v>
      </c>
    </row>
    <row r="112" spans="1:9" x14ac:dyDescent="0.25">
      <c r="A112" s="91" t="s">
        <v>19</v>
      </c>
      <c r="B112" s="3">
        <v>300</v>
      </c>
      <c r="D112" t="str">
        <f>A112</f>
        <v>Bank Transfer</v>
      </c>
      <c r="E112">
        <f>B112</f>
        <v>300</v>
      </c>
    </row>
    <row r="113" spans="1:6" x14ac:dyDescent="0.25">
      <c r="A113" s="91" t="s">
        <v>14</v>
      </c>
      <c r="B113" s="3">
        <v>205</v>
      </c>
      <c r="D113" t="str">
        <f t="shared" ref="D113:D114" si="11">A113</f>
        <v>Credit Card</v>
      </c>
      <c r="E113">
        <f t="shared" ref="E113:E114" si="12">B113</f>
        <v>205</v>
      </c>
    </row>
    <row r="114" spans="1:6" x14ac:dyDescent="0.25">
      <c r="A114" s="91" t="s">
        <v>28</v>
      </c>
      <c r="B114" s="3">
        <v>495</v>
      </c>
      <c r="D114" t="str">
        <f t="shared" si="11"/>
        <v>E-Wallet</v>
      </c>
      <c r="E114">
        <f t="shared" si="12"/>
        <v>495</v>
      </c>
    </row>
    <row r="115" spans="1:6" x14ac:dyDescent="0.25">
      <c r="A115" s="1" t="s">
        <v>2091</v>
      </c>
      <c r="B115" s="3">
        <v>1000</v>
      </c>
    </row>
    <row r="118" spans="1:6" x14ac:dyDescent="0.25">
      <c r="A118" s="59" t="s">
        <v>7</v>
      </c>
      <c r="B118" t="s">
        <v>2086</v>
      </c>
    </row>
    <row r="119" spans="1:6" x14ac:dyDescent="0.25">
      <c r="D119" s="102" t="s">
        <v>2152</v>
      </c>
      <c r="E119" s="102"/>
    </row>
    <row r="120" spans="1:6" x14ac:dyDescent="0.25">
      <c r="A120" s="50" t="s">
        <v>2090</v>
      </c>
      <c r="B120" s="1" t="s">
        <v>2087</v>
      </c>
      <c r="D120" s="2" t="s">
        <v>2140</v>
      </c>
      <c r="E120" s="2" t="s">
        <v>2147</v>
      </c>
    </row>
    <row r="121" spans="1:6" x14ac:dyDescent="0.25">
      <c r="A121" s="91" t="s">
        <v>2141</v>
      </c>
      <c r="B121" s="3">
        <v>6510.75</v>
      </c>
      <c r="D121" s="65" t="str">
        <f t="shared" ref="D121:D126" si="13">A121</f>
        <v>Official Website</v>
      </c>
      <c r="E121" s="64">
        <f>GETPIVOTDATA("Sales Revenue",$A$120,"Sales Location","Official Website")/GETPIVOTDATA("Sales Revenue",$A$120)</f>
        <v>0.3996777163904236</v>
      </c>
    </row>
    <row r="122" spans="1:6" x14ac:dyDescent="0.25">
      <c r="A122" s="91" t="s">
        <v>2142</v>
      </c>
      <c r="B122" s="3">
        <v>3155</v>
      </c>
      <c r="D122" s="65" t="str">
        <f t="shared" si="13"/>
        <v>Shopee</v>
      </c>
      <c r="E122" s="64">
        <f>GETPIVOTDATA("Sales Revenue",$A$120,"Sales Location","Shopee")/GETPIVOTDATA("Sales Revenue",$A$120)</f>
        <v>0.19367710251688153</v>
      </c>
    </row>
    <row r="123" spans="1:6" x14ac:dyDescent="0.25">
      <c r="A123" s="91" t="s">
        <v>2144</v>
      </c>
      <c r="B123" s="3">
        <v>2271</v>
      </c>
      <c r="D123" s="65" t="str">
        <f t="shared" si="13"/>
        <v>Retail Store</v>
      </c>
      <c r="E123" s="64">
        <f>GETPIVOTDATA("Sales Revenue",$A$120,"Sales Location","Retail Store")/GETPIVOTDATA("Sales Revenue",$A$120)</f>
        <v>0.13941068139963167</v>
      </c>
    </row>
    <row r="124" spans="1:6" x14ac:dyDescent="0.25">
      <c r="A124" s="91" t="s">
        <v>2143</v>
      </c>
      <c r="B124" s="3">
        <v>1748.5</v>
      </c>
      <c r="D124" s="65" t="str">
        <f t="shared" si="13"/>
        <v>TikTok Shop</v>
      </c>
      <c r="E124" s="64">
        <f>GETPIVOTDATA("Sales Revenue",$A$120,"Sales Location","TikTok Shop")/GETPIVOTDATA("Sales Revenue",$A$120)</f>
        <v>0.10733578882750154</v>
      </c>
      <c r="F124" s="2"/>
    </row>
    <row r="125" spans="1:6" x14ac:dyDescent="0.25">
      <c r="A125" s="91" t="s">
        <v>2145</v>
      </c>
      <c r="B125" s="3">
        <v>1727.5</v>
      </c>
      <c r="D125" s="65" t="str">
        <f t="shared" si="13"/>
        <v>Pharmacy Chain</v>
      </c>
      <c r="E125" s="64">
        <f>GETPIVOTDATA("Sales Revenue",$A$120,"Sales Location","Pharmacy Chain")/GETPIVOTDATA("Sales Revenue",$A$120)</f>
        <v>0.10604665438919583</v>
      </c>
      <c r="F125" s="64"/>
    </row>
    <row r="126" spans="1:6" x14ac:dyDescent="0.25">
      <c r="A126" s="91" t="s">
        <v>2146</v>
      </c>
      <c r="B126" s="3">
        <v>877.25</v>
      </c>
      <c r="D126" s="65" t="str">
        <f t="shared" si="13"/>
        <v>Beauty Store</v>
      </c>
      <c r="E126" s="64">
        <f>GETPIVOTDATA("Sales Revenue",$A$120,"Sales Location","Beauty Store")/GETPIVOTDATA("Sales Revenue",$A$120)</f>
        <v>5.3852056476365866E-2</v>
      </c>
      <c r="F126" s="64"/>
    </row>
    <row r="127" spans="1:6" x14ac:dyDescent="0.25">
      <c r="A127" s="1" t="s">
        <v>2091</v>
      </c>
      <c r="B127" s="3">
        <v>16290</v>
      </c>
      <c r="F127" s="64"/>
    </row>
    <row r="128" spans="1:6" x14ac:dyDescent="0.25">
      <c r="F128" s="64"/>
    </row>
    <row r="129" spans="4:6" x14ac:dyDescent="0.25">
      <c r="F129" s="64"/>
    </row>
    <row r="130" spans="4:6" x14ac:dyDescent="0.25">
      <c r="F130" s="64"/>
    </row>
    <row r="131" spans="4:6" x14ac:dyDescent="0.25">
      <c r="D131" s="2"/>
      <c r="E131" s="62"/>
      <c r="F131" s="63"/>
    </row>
  </sheetData>
  <mergeCells count="9">
    <mergeCell ref="F79:I79"/>
    <mergeCell ref="D97:E97"/>
    <mergeCell ref="D110:E110"/>
    <mergeCell ref="D119:E119"/>
    <mergeCell ref="D35:H35"/>
    <mergeCell ref="D40:H40"/>
    <mergeCell ref="D45:H45"/>
    <mergeCell ref="D50:H50"/>
    <mergeCell ref="F68:I68"/>
  </mergeCells>
  <conditionalFormatting sqref="H37">
    <cfRule type="expression" dxfId="55" priority="7">
      <formula>$F$37&lt;=0</formula>
    </cfRule>
    <cfRule type="expression" dxfId="54" priority="8">
      <formula>$F$37&gt;0</formula>
    </cfRule>
  </conditionalFormatting>
  <conditionalFormatting sqref="H42">
    <cfRule type="expression" dxfId="53" priority="5">
      <formula>$F$42&lt;=0</formula>
    </cfRule>
    <cfRule type="expression" dxfId="52" priority="6">
      <formula>$F$42&gt;0</formula>
    </cfRule>
  </conditionalFormatting>
  <conditionalFormatting sqref="H47">
    <cfRule type="expression" dxfId="51" priority="3">
      <formula>$F$47&gt;0</formula>
    </cfRule>
    <cfRule type="expression" dxfId="50" priority="4">
      <formula>$F$47&lt;=0</formula>
    </cfRule>
  </conditionalFormatting>
  <conditionalFormatting sqref="H52">
    <cfRule type="expression" dxfId="49" priority="1">
      <formula>$F$52&lt;=0</formula>
    </cfRule>
    <cfRule type="expression" dxfId="48" priority="2">
      <formula>$F$52&gt;0</formula>
    </cfRule>
  </conditionalFormatting>
  <pageMargins left="0.7" right="0.7" top="0.75" bottom="0.75" header="0.3" footer="0.3"/>
  <pageSetup orientation="portrait"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GridLines="0" topLeftCell="C1" zoomScale="80" zoomScaleNormal="80" workbookViewId="0">
      <selection activeCell="X6" sqref="X6"/>
    </sheetView>
  </sheetViews>
  <sheetFormatPr defaultRowHeight="15" x14ac:dyDescent="0.25"/>
  <cols>
    <col min="1" max="19" width="9.140625" style="66"/>
    <col min="20" max="20" width="9.140625" style="66" customWidth="1"/>
    <col min="21" max="16384" width="9.140625" style="66"/>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C2:K16"/>
  <sheetViews>
    <sheetView showGridLines="0" workbookViewId="0">
      <selection activeCell="P1" sqref="P1"/>
    </sheetView>
  </sheetViews>
  <sheetFormatPr defaultRowHeight="15" x14ac:dyDescent="0.25"/>
  <cols>
    <col min="1" max="3" width="9.140625" style="66"/>
    <col min="4" max="4" width="21.140625" style="66" bestFit="1" customWidth="1"/>
    <col min="5" max="5" width="3.7109375" style="66" customWidth="1"/>
    <col min="6" max="6" width="30.7109375" style="66" customWidth="1"/>
    <col min="7" max="7" width="9.140625" style="66"/>
    <col min="8" max="8" width="21.28515625" style="66" bestFit="1" customWidth="1"/>
    <col min="9" max="9" width="3.7109375" style="66" customWidth="1"/>
    <col min="10" max="10" width="30.7109375" style="66" customWidth="1"/>
    <col min="11" max="16384" width="9.140625" style="66"/>
  </cols>
  <sheetData>
    <row r="2" spans="3:11" ht="15.75" thickBot="1" x14ac:dyDescent="0.3"/>
    <row r="3" spans="3:11" ht="47.25" thickBot="1" x14ac:dyDescent="0.75">
      <c r="C3" s="104" t="s">
        <v>2084</v>
      </c>
      <c r="D3" s="105"/>
      <c r="E3" s="105"/>
      <c r="F3" s="105"/>
      <c r="G3" s="105"/>
      <c r="H3" s="105"/>
      <c r="I3" s="105"/>
      <c r="J3" s="105"/>
      <c r="K3" s="106"/>
    </row>
    <row r="4" spans="3:11" x14ac:dyDescent="0.25">
      <c r="C4" s="73"/>
      <c r="D4" s="74"/>
      <c r="E4" s="75"/>
      <c r="F4" s="74"/>
      <c r="G4" s="74"/>
      <c r="H4" s="76"/>
      <c r="I4" s="75"/>
      <c r="J4" s="74"/>
      <c r="K4" s="77"/>
    </row>
    <row r="5" spans="3:11" ht="18.75" x14ac:dyDescent="0.25">
      <c r="C5" s="73"/>
      <c r="D5" s="78" t="s">
        <v>1</v>
      </c>
      <c r="E5" s="79" t="s">
        <v>2083</v>
      </c>
      <c r="F5" s="68"/>
      <c r="G5" s="80"/>
      <c r="H5" s="78" t="s">
        <v>6</v>
      </c>
      <c r="I5" s="79" t="s">
        <v>2083</v>
      </c>
      <c r="J5" s="69"/>
      <c r="K5" s="77"/>
    </row>
    <row r="6" spans="3:11" ht="18.75" x14ac:dyDescent="0.25">
      <c r="C6" s="73"/>
      <c r="D6" s="81"/>
      <c r="E6" s="79"/>
      <c r="F6" s="80"/>
      <c r="G6" s="80"/>
      <c r="H6" s="81"/>
      <c r="I6" s="79"/>
      <c r="J6" s="80"/>
      <c r="K6" s="77"/>
    </row>
    <row r="7" spans="3:11" ht="18.75" x14ac:dyDescent="0.25">
      <c r="C7" s="73"/>
      <c r="D7" s="78" t="s">
        <v>2</v>
      </c>
      <c r="E7" s="79" t="s">
        <v>2083</v>
      </c>
      <c r="F7" s="68"/>
      <c r="G7" s="80"/>
      <c r="H7" s="78" t="s">
        <v>2042</v>
      </c>
      <c r="I7" s="79" t="s">
        <v>2083</v>
      </c>
      <c r="J7" s="70" t="str">
        <f>IF(F9="","",IFERROR(VLOOKUP(F9,'Cost Product'!A$1:C$21,2,FALSE),""))</f>
        <v/>
      </c>
      <c r="K7" s="77"/>
    </row>
    <row r="8" spans="3:11" ht="18.75" x14ac:dyDescent="0.25">
      <c r="C8" s="73"/>
      <c r="D8" s="81"/>
      <c r="E8" s="79"/>
      <c r="F8" s="80"/>
      <c r="G8" s="80"/>
      <c r="H8" s="81"/>
      <c r="I8" s="79"/>
      <c r="J8" s="80"/>
      <c r="K8" s="77"/>
    </row>
    <row r="9" spans="3:11" ht="18.75" x14ac:dyDescent="0.25">
      <c r="C9" s="73"/>
      <c r="D9" s="78" t="s">
        <v>3</v>
      </c>
      <c r="E9" s="79" t="s">
        <v>2083</v>
      </c>
      <c r="F9" s="68"/>
      <c r="G9" s="80"/>
      <c r="H9" s="78" t="s">
        <v>7</v>
      </c>
      <c r="I9" s="79" t="s">
        <v>2083</v>
      </c>
      <c r="J9" s="68"/>
      <c r="K9" s="77"/>
    </row>
    <row r="10" spans="3:11" ht="18.75" x14ac:dyDescent="0.25">
      <c r="C10" s="73"/>
      <c r="D10" s="81"/>
      <c r="E10" s="79"/>
      <c r="F10" s="80"/>
      <c r="G10" s="80"/>
      <c r="H10" s="81"/>
      <c r="I10" s="79"/>
      <c r="J10" s="80"/>
      <c r="K10" s="77"/>
    </row>
    <row r="11" spans="3:11" ht="18.75" x14ac:dyDescent="0.25">
      <c r="C11" s="73"/>
      <c r="D11" s="78" t="s">
        <v>4</v>
      </c>
      <c r="E11" s="79" t="s">
        <v>2083</v>
      </c>
      <c r="F11" s="71"/>
      <c r="G11" s="80"/>
      <c r="H11" s="78" t="s">
        <v>2140</v>
      </c>
      <c r="I11" s="79" t="s">
        <v>2083</v>
      </c>
      <c r="J11" s="68"/>
      <c r="K11" s="77"/>
    </row>
    <row r="12" spans="3:11" ht="18.75" x14ac:dyDescent="0.25">
      <c r="C12" s="73"/>
      <c r="D12" s="81"/>
      <c r="E12" s="79"/>
      <c r="F12" s="80"/>
      <c r="G12" s="80"/>
      <c r="H12" s="81"/>
      <c r="I12" s="79"/>
      <c r="J12" s="80"/>
      <c r="K12" s="77"/>
    </row>
    <row r="13" spans="3:11" ht="18.75" x14ac:dyDescent="0.25">
      <c r="C13" s="73"/>
      <c r="D13" s="78" t="s">
        <v>5</v>
      </c>
      <c r="E13" s="79" t="s">
        <v>2083</v>
      </c>
      <c r="F13" s="71"/>
      <c r="G13" s="80"/>
      <c r="H13" s="78" t="s">
        <v>8</v>
      </c>
      <c r="I13" s="79" t="s">
        <v>2083</v>
      </c>
      <c r="J13" s="68"/>
      <c r="K13" s="77"/>
    </row>
    <row r="14" spans="3:11" ht="18.75" x14ac:dyDescent="0.3">
      <c r="C14" s="73"/>
      <c r="D14" s="74"/>
      <c r="E14" s="82"/>
      <c r="F14" s="83"/>
      <c r="G14" s="83"/>
      <c r="H14" s="84"/>
      <c r="I14" s="85"/>
      <c r="J14" s="83"/>
      <c r="K14" s="77"/>
    </row>
    <row r="15" spans="3:11" s="72" customFormat="1" ht="18.75" x14ac:dyDescent="0.3">
      <c r="C15" s="86"/>
      <c r="D15" s="83"/>
      <c r="E15" s="83"/>
      <c r="F15" s="83"/>
      <c r="G15" s="83"/>
      <c r="H15" s="83"/>
      <c r="I15" s="83"/>
      <c r="J15" s="83"/>
      <c r="K15" s="87"/>
    </row>
    <row r="16" spans="3:11" s="72" customFormat="1" ht="19.5" thickBot="1" x14ac:dyDescent="0.35">
      <c r="C16" s="88"/>
      <c r="D16" s="89"/>
      <c r="E16" s="89"/>
      <c r="F16" s="89"/>
      <c r="G16" s="89"/>
      <c r="H16" s="89"/>
      <c r="I16" s="89"/>
      <c r="J16" s="89"/>
      <c r="K16" s="90"/>
    </row>
  </sheetData>
  <mergeCells count="1">
    <mergeCell ref="C3:K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ubmit">
                <anchor moveWithCells="1" sizeWithCells="1">
                  <from>
                    <xdr:col>5</xdr:col>
                    <xdr:colOff>1514475</xdr:colOff>
                    <xdr:row>13</xdr:row>
                    <xdr:rowOff>228600</xdr:rowOff>
                  </from>
                  <to>
                    <xdr:col>7</xdr:col>
                    <xdr:colOff>476250</xdr:colOff>
                    <xdr:row>15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Sheet1!$F$4:$F$6</xm:f>
          </x14:formula1>
          <xm:sqref>J13</xm:sqref>
        </x14:dataValidation>
        <x14:dataValidation type="list" allowBlank="1" showInputMessage="1" showErrorMessage="1">
          <x14:formula1>
            <xm:f>Sheet1!$E$4:$E$9</xm:f>
          </x14:formula1>
          <xm:sqref>J11</xm:sqref>
        </x14:dataValidation>
        <x14:dataValidation type="list" allowBlank="1" showInputMessage="1" showErrorMessage="1">
          <x14:formula1>
            <xm:f>Sheet1!$D$4:$D$5</xm:f>
          </x14:formula1>
          <xm:sqref>J9</xm:sqref>
        </x14:dataValidation>
        <x14:dataValidation type="list" allowBlank="1" showInputMessage="1" showErrorMessage="1">
          <x14:formula1>
            <xm:f>Sheet1!$C$4:$C$23</xm:f>
          </x14:formula1>
          <xm:sqref>F9</xm:sqref>
        </x14:dataValidation>
        <x14:dataValidation type="list" allowBlank="1" showInputMessage="1" showErrorMessage="1">
          <x14:formula1>
            <xm:f>Sheet1!$B$4:$B$8</xm:f>
          </x14:formula1>
          <xm:sqref>F7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Skincare Sales</vt:lpstr>
      <vt:lpstr>Cost Product</vt:lpstr>
      <vt:lpstr>Analysis</vt:lpstr>
      <vt:lpstr>KPI</vt:lpstr>
      <vt:lpstr>Dashboard</vt:lpstr>
      <vt:lpstr>Sales 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2025-12-23T05:54:31Z</dcterms:created>
  <dcterms:modified xsi:type="dcterms:W3CDTF">2026-01-14T07:01:24Z</dcterms:modified>
</cp:coreProperties>
</file>